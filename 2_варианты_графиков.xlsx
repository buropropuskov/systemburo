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мот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5" authorId="0">
      <text>
        <r>
          <rPr>
            <sz val="10"/>
            <rFont val="Arial"/>
            <family val="2"/>
          </rPr>
          <t xml:space="preserve">Данные предоставлены пользователем.</t>
        </r>
      </text>
    </comment>
    <comment ref="H4" authorId="0">
      <text>
        <r>
          <rPr>
            <sz val="10"/>
            <rFont val="Arial"/>
            <family val="2"/>
          </rPr>
          <t xml:space="preserve">Разница конверсий в процентных пунктах: 0.010 п.п. = на 1 изъятие больше на каждые 10 000 посетителей.</t>
        </r>
      </text>
    </comment>
  </commentList>
</comments>
</file>

<file path=xl/sharedStrings.xml><?xml version="1.0" encoding="utf-8"?>
<sst xmlns="http://schemas.openxmlformats.org/spreadsheetml/2006/main" count="52" uniqueCount="36">
  <si>
    <t xml:space="preserve">Конверсия = число изъятий / число посетителей за месяц. Синие числа - исходные данные, чёрные - формулы.</t>
  </si>
  <si>
    <t xml:space="preserve">Данные для вариантов 2-7 (ссылки на таблицу слева)</t>
  </si>
  <si>
    <t xml:space="preserve">Показатель</t>
  </si>
  <si>
    <t xml:space="preserve">Июль</t>
  </si>
  <si>
    <t xml:space="preserve">Август</t>
  </si>
  <si>
    <t xml:space="preserve">Изменение (август к июлю)</t>
  </si>
  <si>
    <t xml:space="preserve">Предмет</t>
  </si>
  <si>
    <t xml:space="preserve">На 10 000, июль</t>
  </si>
  <si>
    <t xml:space="preserve">На 10 000, август</t>
  </si>
  <si>
    <t xml:space="preserve">Изм. кол-ва, %</t>
  </si>
  <si>
    <t xml:space="preserve">Изм. конверсии, %</t>
  </si>
  <si>
    <t xml:space="preserve">Кол-во</t>
  </si>
  <si>
    <t xml:space="preserve">Конверсия</t>
  </si>
  <si>
    <t xml:space="preserve">Кол-во, шт</t>
  </si>
  <si>
    <t xml:space="preserve">Кол-во, %</t>
  </si>
  <si>
    <t xml:space="preserve">Конверсия, п.п.</t>
  </si>
  <si>
    <t xml:space="preserve">Посетители, чел.</t>
  </si>
  <si>
    <t xml:space="preserve">—</t>
  </si>
  <si>
    <t xml:space="preserve">Оружие</t>
  </si>
  <si>
    <t xml:space="preserve">Колющее</t>
  </si>
  <si>
    <t xml:space="preserve">Аэрозоль</t>
  </si>
  <si>
    <t xml:space="preserve">Спирт</t>
  </si>
  <si>
    <t xml:space="preserve">Пиротехника</t>
  </si>
  <si>
    <t xml:space="preserve">Всего запрещённых</t>
  </si>
  <si>
    <t xml:space="preserve">Доля предмета среди всех изъятий</t>
  </si>
  <si>
    <t xml:space="preserve">Месяц</t>
  </si>
  <si>
    <t xml:space="preserve">Данные для графика (ссылки на таблицу выше)</t>
  </si>
  <si>
    <t xml:space="preserve">Посетители</t>
  </si>
  <si>
    <t xml:space="preserve">Конв. оружие</t>
  </si>
  <si>
    <t xml:space="preserve">Конв. колющее</t>
  </si>
  <si>
    <t xml:space="preserve">Конв. аэрозоль</t>
  </si>
  <si>
    <t xml:space="preserve">Конв. спирт</t>
  </si>
  <si>
    <t xml:space="preserve">Конв. пиротехника</t>
  </si>
  <si>
    <t xml:space="preserve">Конв. всего</t>
  </si>
  <si>
    <t xml:space="preserve">Подпись месяца</t>
  </si>
  <si>
    <t xml:space="preserve">Подпись в легенде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</si>
</sst>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@"/>
    <numFmt numFmtId="166" formatCode="0.0000%"/>
    <numFmt numFmtId="167" formatCode="0.00"/>
    <numFmt numFmtId="168" formatCode="\+0.0%;\-0.0%;0.0%"/>
    <numFmt numFmtId="169" formatCode="#,##0"/>
    <numFmt numFmtId="170" formatCode="0.000%"/>
    <numFmt numFmtId="171" formatCode="\+#,##0;\-#,##0;0"/>
    <numFmt numFmtId="172" formatCode="\+0.000;\-0.000;0.000"/>
    <numFmt numFmtId="173" formatCode="0.0"/>
    <numFmt numFmtId="174" formatCode="\+0.0000;\-0.0000;0.0000"/>
    <numFmt numFmtId="175" formatCode="0.0%"/>
    <numFmt numFmtId="176" formatCode="[&lt;0.00005]0.000%;[&lt;0.0005]0.00%;0.0%"/>
    <numFmt numFmtId="177" formatCode="\+0%;\-0%;0%"/>
    <numFmt numFmtId="17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70AD47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Вариант 1. Посетители и конверсия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Досмотр!$B$17</c:f>
              <c:strCache>
                <c:ptCount val="1"/>
                <c:pt idx="0">
                  <c:v>Посетители (+10,9%)</c:v>
                </c:pt>
              </c:strCache>
            </c:strRef>
          </c:tx>
          <c:spPr>
            <a:solidFill>
              <a:srgbClr val="DDEBF7"/>
            </a:solidFill>
            <a:ln w="12600">
              <a:solidFill>
                <a:srgbClr val="9DC3E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9DC3E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Досмотр!$B$15:$B$16</c:f>
              <c:numCache>
                <c:formatCode>#,##0</c:formatCode>
                <c:ptCount val="2"/>
                <c:pt idx="0">
                  <c:v>436644</c:v>
                </c:pt>
                <c:pt idx="1">
                  <c:v>484265</c:v>
                </c:pt>
              </c:numCache>
            </c:numRef>
          </c:val>
        </c:ser>
        <c:gapWidth val="60"/>
        <c:overlap val="0"/>
        <c:axId val="70518379"/>
        <c:axId val="11450118"/>
      </c:barChart>
      <c:lineChart>
        <c:grouping val="standard"/>
        <c:varyColors val="0"/>
        <c:ser>
          <c:idx val="1"/>
          <c:order val="1"/>
          <c:tx>
            <c:strRef>
              <c:f>Досмотр!$H$17</c:f>
              <c:strCache>
                <c:ptCount val="1"/>
                <c:pt idx="0">
                  <c:v>Всего (3185 -&gt; 2974 шт, -6,6%)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Досмотр!$H$15:$H$16</c:f>
              <c:numCache>
                <c:formatCode>0.000%</c:formatCode>
                <c:ptCount val="2"/>
                <c:pt idx="0">
                  <c:v>0.00729427176372514</c:v>
                </c:pt>
                <c:pt idx="1">
                  <c:v>0.00614126562935583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Досмотр!$D$17</c:f>
              <c:strCache>
                <c:ptCount val="1"/>
                <c:pt idx="0">
                  <c:v>Колющее (1716 -&gt; 1698 шт, -1%)</c:v>
                </c:pt>
              </c:strCache>
            </c:strRef>
          </c:tx>
          <c:spPr>
            <a:solidFill>
              <a:srgbClr val="1F4E78"/>
            </a:solidFill>
            <a:ln w="28440">
              <a:solidFill>
                <a:srgbClr val="1F4E78"/>
              </a:solidFill>
              <a:round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Pt>
            <c:idx val="0"/>
            <c:marker>
              <c:symbol val="circle"/>
              <c:size val="7"/>
              <c:spPr>
                <a:solidFill>
                  <a:srgbClr val="1F4E78"/>
                </a:solidFill>
              </c:spPr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Досмотр!$D$15:$D$16</c:f>
              <c:numCache>
                <c:formatCode>0.000%</c:formatCode>
                <c:ptCount val="2"/>
                <c:pt idx="0">
                  <c:v>0.00392997499106824</c:v>
                </c:pt>
                <c:pt idx="1">
                  <c:v>0.00350634466665978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Досмотр!$E$17</c:f>
              <c:strCache>
                <c:ptCount val="1"/>
                <c:pt idx="0">
                  <c:v>Аэрозоль (871 -&gt; 661 шт, -24,1%)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circle"/>
            <c:size val="7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Досмотр!$E$15:$E$16</c:f>
              <c:numCache>
                <c:formatCode>0.000%</c:formatCode>
                <c:ptCount val="2"/>
                <c:pt idx="0">
                  <c:v>0.00199476003334524</c:v>
                </c:pt>
                <c:pt idx="1">
                  <c:v>0.00136495513819913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Досмотр!$F$17</c:f>
              <c:strCache>
                <c:ptCount val="1"/>
                <c:pt idx="0">
                  <c:v>Спирт (569 -&gt; 578 шт, +1,6%)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Досмотр!$F$15:$F$16</c:f>
              <c:numCache>
                <c:formatCode>0.000%</c:formatCode>
                <c:ptCount val="2"/>
                <c:pt idx="0">
                  <c:v>0.00130312107804069</c:v>
                </c:pt>
                <c:pt idx="1">
                  <c:v>0.00119356137651905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Досмотр!$C$17</c:f>
              <c:strCache>
                <c:ptCount val="1"/>
                <c:pt idx="0">
                  <c:v>Оружие (24 -&gt; 30 шт, +25%)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Досмотр!$C$15:$C$16</c:f>
              <c:numCache>
                <c:formatCode>0.0000%</c:formatCode>
                <c:ptCount val="2"/>
                <c:pt idx="0">
                  <c:v>5.49646851897656E-005</c:v>
                </c:pt>
                <c:pt idx="1">
                  <c:v>6.19495524144838E-005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Досмотр!$G$17</c:f>
              <c:strCache>
                <c:ptCount val="1"/>
                <c:pt idx="0">
                  <c:v>Пиротехника (5 -&gt; 7 шт, +40%)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circle"/>
            <c:size val="7"/>
            <c:spPr>
              <a:solidFill>
                <a:srgbClr val="7030A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Досмотр!$G$15:$G$16</c:f>
              <c:numCache>
                <c:formatCode>0.0000%</c:formatCode>
                <c:ptCount val="2"/>
                <c:pt idx="0">
                  <c:v>1.14509760812012E-005</c:v>
                </c:pt>
                <c:pt idx="1">
                  <c:v>1.44548955633796E-005</c:v>
                </c:pt>
              </c:numCache>
            </c:numRef>
          </c:val>
          <c:smooth val="0"/>
        </c:ser>
        <c:ser>
          <c:idx val="7"/>
          <c:order val="7"/>
          <c:spPr>
            <a:solidFill>
              <a:srgbClr val="FFFFFF"/>
            </a:solidFill>
            <a:ln w="1260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"/>
            <c:showLegendKey val="0"/>
            <c:showVal val="0"/>
            <c:showCatName val="1"/>
            <c:showSerName val="0"/>
            <c:showPercent val="0"/>
            <c:separator>;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Досмотр!$H$15:$H$16</c:f>
              <c:numCache>
                <c:formatCode>0.000%</c:formatCode>
                <c:ptCount val="2"/>
                <c:pt idx="0">
                  <c:v>0.00729427176372514</c:v>
                </c:pt>
                <c:pt idx="1">
                  <c:v>0.00614126562935583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9218524"/>
        <c:axId val="85580095"/>
      </c:lineChart>
      <c:catAx>
        <c:axId val="70518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450118"/>
        <c:crosses val="autoZero"/>
        <c:auto val="1"/>
        <c:lblAlgn val="ctr"/>
        <c:lblOffset val="100"/>
        <c:noMultiLvlLbl val="0"/>
      </c:catAx>
      <c:valAx>
        <c:axId val="11450118"/>
        <c:scaling>
          <c:orientation val="minMax"/>
          <c:max val="10000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Посетители, чел.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518379"/>
        <c:crosses val="autoZero"/>
        <c:crossBetween val="between"/>
      </c:valAx>
      <c:catAx>
        <c:axId val="9921852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580095"/>
        <c:crosses val="autoZero"/>
        <c:auto val="1"/>
        <c:lblAlgn val="ctr"/>
        <c:lblOffset val="100"/>
        <c:noMultiLvlLbl val="0"/>
      </c:catAx>
      <c:valAx>
        <c:axId val="85580095"/>
        <c:scaling>
          <c:logBase val="10"/>
          <c:orientation val="minMax"/>
          <c:max val="0.01"/>
          <c:min val="1E-005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Конверсия (логарифмическая шкала)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0.00005]0.000%;[&lt;0.0005]0.00%;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218524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legendEntry>
        <c:idx val="7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Вариант 2. Посетители и общая конверсия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Досмотр!$B$17</c:f>
              <c:strCache>
                <c:ptCount val="1"/>
                <c:pt idx="0">
                  <c:v>Посетители (+10,9%)</c:v>
                </c:pt>
              </c:strCache>
            </c:strRef>
          </c:tx>
          <c:spPr>
            <a:solidFill>
              <a:srgbClr val="DDEBF7"/>
            </a:solidFill>
            <a:ln w="12600">
              <a:solidFill>
                <a:srgbClr val="9DC3E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9DC3E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Досмотр!$B$15:$B$16</c:f>
              <c:numCache>
                <c:formatCode>#,##0</c:formatCode>
                <c:ptCount val="2"/>
                <c:pt idx="0">
                  <c:v>436644</c:v>
                </c:pt>
                <c:pt idx="1">
                  <c:v>484265</c:v>
                </c:pt>
              </c:numCache>
            </c:numRef>
          </c:val>
        </c:ser>
        <c:gapWidth val="60"/>
        <c:overlap val="0"/>
        <c:axId val="91329990"/>
        <c:axId val="62168724"/>
      </c:barChart>
      <c:lineChart>
        <c:grouping val="standard"/>
        <c:varyColors val="0"/>
        <c:ser>
          <c:idx val="1"/>
          <c:order val="1"/>
          <c:tx>
            <c:strRef>
              <c:f>Досмотр!$H$17</c:f>
              <c:strCache>
                <c:ptCount val="1"/>
                <c:pt idx="0">
                  <c:v>Всего (3185 -&gt; 2974 шт, -6,6%)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circle"/>
            <c:size val="7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Досмотр!$H$15:$H$16</c:f>
              <c:numCache>
                <c:formatCode>0.000%</c:formatCode>
                <c:ptCount val="2"/>
                <c:pt idx="0">
                  <c:v>0.00729427176372514</c:v>
                </c:pt>
                <c:pt idx="1">
                  <c:v>0.00614126562935583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886500"/>
        <c:axId val="90671946"/>
      </c:lineChart>
      <c:catAx>
        <c:axId val="913299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168724"/>
        <c:crosses val="autoZero"/>
        <c:auto val="1"/>
        <c:lblAlgn val="ctr"/>
        <c:lblOffset val="100"/>
        <c:noMultiLvlLbl val="0"/>
      </c:catAx>
      <c:valAx>
        <c:axId val="62168724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Посетители, чел.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329990"/>
        <c:crosses val="autoZero"/>
        <c:crossBetween val="between"/>
      </c:valAx>
      <c:catAx>
        <c:axId val="508865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671946"/>
        <c:crosses val="autoZero"/>
        <c:auto val="1"/>
        <c:lblAlgn val="ctr"/>
        <c:lblOffset val="100"/>
        <c:noMultiLvlLbl val="0"/>
      </c:catAx>
      <c:valAx>
        <c:axId val="90671946"/>
        <c:scaling>
          <c:orientation val="minMax"/>
          <c:max val="0.0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Конверсия всех запрещённых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886500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Вариант 3. Конверсия по предметам: июль и август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Досмотр!K3</c:f>
              <c:strCache>
                <c:ptCount val="1"/>
                <c:pt idx="0">
                  <c:v>Июль</c:v>
                </c:pt>
              </c:strCache>
            </c:strRef>
          </c:tx>
          <c:spPr>
            <a:solidFill>
              <a:srgbClr val="9DC3E6"/>
            </a:solidFill>
            <a:ln w="12600">
              <a:solidFill>
                <a:srgbClr val="9DC3E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9DC3E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Досмотр!$J$4:$J$9</c:f>
              <c:strCache>
                <c:ptCount val="6"/>
                <c:pt idx="0">
                  <c:v>Оружие</c:v>
                </c:pt>
                <c:pt idx="1">
                  <c:v>Колющее</c:v>
                </c:pt>
                <c:pt idx="2">
                  <c:v>Аэрозоль</c:v>
                </c:pt>
                <c:pt idx="3">
                  <c:v>Спирт</c:v>
                </c:pt>
                <c:pt idx="4">
                  <c:v>Пиротехника</c:v>
                </c:pt>
                <c:pt idx="5">
                  <c:v>Всего запрещённых</c:v>
                </c:pt>
              </c:strCache>
            </c:strRef>
          </c:cat>
          <c:val>
            <c:numRef>
              <c:f>Досмотр!$K$4:$K$9</c:f>
              <c:numCache>
                <c:formatCode>0.0000%</c:formatCode>
                <c:ptCount val="6"/>
                <c:pt idx="0">
                  <c:v>5.49646851897656E-005</c:v>
                </c:pt>
                <c:pt idx="1">
                  <c:v>0.00392997499106824</c:v>
                </c:pt>
                <c:pt idx="2">
                  <c:v>0.00199476003334524</c:v>
                </c:pt>
                <c:pt idx="3">
                  <c:v>0.00130312107804069</c:v>
                </c:pt>
                <c:pt idx="4">
                  <c:v>1.14509760812012E-005</c:v>
                </c:pt>
                <c:pt idx="5">
                  <c:v>0.00729427176372514</c:v>
                </c:pt>
              </c:numCache>
            </c:numRef>
          </c:val>
        </c:ser>
        <c:ser>
          <c:idx val="1"/>
          <c:order val="1"/>
          <c:tx>
            <c:strRef>
              <c:f>Досмотр!L3</c:f>
              <c:strCache>
                <c:ptCount val="1"/>
                <c:pt idx="0">
                  <c:v>Август</c:v>
                </c:pt>
              </c:strCache>
            </c:strRef>
          </c:tx>
          <c:spPr>
            <a:solidFill>
              <a:srgbClr val="1F4E78"/>
            </a:solidFill>
            <a:ln w="12600">
              <a:solidFill>
                <a:srgbClr val="1F4E7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1F4E78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Досмотр!$J$4:$J$9</c:f>
              <c:strCache>
                <c:ptCount val="6"/>
                <c:pt idx="0">
                  <c:v>Оружие</c:v>
                </c:pt>
                <c:pt idx="1">
                  <c:v>Колющее</c:v>
                </c:pt>
                <c:pt idx="2">
                  <c:v>Аэрозоль</c:v>
                </c:pt>
                <c:pt idx="3">
                  <c:v>Спирт</c:v>
                </c:pt>
                <c:pt idx="4">
                  <c:v>Пиротехника</c:v>
                </c:pt>
                <c:pt idx="5">
                  <c:v>Всего запрещённых</c:v>
                </c:pt>
              </c:strCache>
            </c:strRef>
          </c:cat>
          <c:val>
            <c:numRef>
              <c:f>Досмотр!$L$4:$L$9</c:f>
              <c:numCache>
                <c:formatCode>0.0000%</c:formatCode>
                <c:ptCount val="6"/>
                <c:pt idx="0">
                  <c:v>6.19495524144838E-005</c:v>
                </c:pt>
                <c:pt idx="1">
                  <c:v>0.00350634466665978</c:v>
                </c:pt>
                <c:pt idx="2">
                  <c:v>0.00136495513819913</c:v>
                </c:pt>
                <c:pt idx="3">
                  <c:v>0.00119356137651905</c:v>
                </c:pt>
                <c:pt idx="4">
                  <c:v>1.44548955633796E-005</c:v>
                </c:pt>
                <c:pt idx="5">
                  <c:v>0.00614126562935583</c:v>
                </c:pt>
              </c:numCache>
            </c:numRef>
          </c:val>
        </c:ser>
        <c:gapWidth val="60"/>
        <c:overlap val="0"/>
        <c:axId val="14264863"/>
        <c:axId val="56487654"/>
      </c:barChart>
      <c:catAx>
        <c:axId val="1426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487654"/>
        <c:crosses val="autoZero"/>
        <c:auto val="1"/>
        <c:lblAlgn val="ctr"/>
        <c:lblOffset val="100"/>
        <c:noMultiLvlLbl val="0"/>
      </c:catAx>
      <c:valAx>
        <c:axId val="56487654"/>
        <c:scaling>
          <c:orientation val="minMax"/>
          <c:max val="0.009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2648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Вариант 4. Сколько изъятий приходится на 10 000 посетителей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Досмотр!M3</c:f>
              <c:strCache>
                <c:ptCount val="1"/>
                <c:pt idx="0">
                  <c:v>На 10 000, июль</c:v>
                </c:pt>
              </c:strCache>
            </c:strRef>
          </c:tx>
          <c:spPr>
            <a:solidFill>
              <a:srgbClr val="9DC3E6"/>
            </a:solidFill>
            <a:ln w="12600">
              <a:solidFill>
                <a:srgbClr val="9DC3E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9DC3E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Досмотр!$J$4:$J$9</c:f>
              <c:strCache>
                <c:ptCount val="6"/>
                <c:pt idx="0">
                  <c:v>Оружие</c:v>
                </c:pt>
                <c:pt idx="1">
                  <c:v>Колющее</c:v>
                </c:pt>
                <c:pt idx="2">
                  <c:v>Аэрозоль</c:v>
                </c:pt>
                <c:pt idx="3">
                  <c:v>Спирт</c:v>
                </c:pt>
                <c:pt idx="4">
                  <c:v>Пиротехника</c:v>
                </c:pt>
                <c:pt idx="5">
                  <c:v>Всего запрещённых</c:v>
                </c:pt>
              </c:strCache>
            </c:strRef>
          </c:cat>
          <c:val>
            <c:numRef>
              <c:f>Досмотр!$M$4:$M$9</c:f>
              <c:numCache>
                <c:formatCode>0.00</c:formatCode>
                <c:ptCount val="6"/>
                <c:pt idx="0">
                  <c:v>0.549646851897656</c:v>
                </c:pt>
                <c:pt idx="1">
                  <c:v>39.2997499106824</c:v>
                </c:pt>
                <c:pt idx="2">
                  <c:v>19.9476003334524</c:v>
                </c:pt>
                <c:pt idx="3">
                  <c:v>13.0312107804069</c:v>
                </c:pt>
                <c:pt idx="4">
                  <c:v>0.114509760812012</c:v>
                </c:pt>
                <c:pt idx="5">
                  <c:v>72.9427176372514</c:v>
                </c:pt>
              </c:numCache>
            </c:numRef>
          </c:val>
        </c:ser>
        <c:ser>
          <c:idx val="1"/>
          <c:order val="1"/>
          <c:tx>
            <c:strRef>
              <c:f>Досмотр!N3</c:f>
              <c:strCache>
                <c:ptCount val="1"/>
                <c:pt idx="0">
                  <c:v>На 10 000, август</c:v>
                </c:pt>
              </c:strCache>
            </c:strRef>
          </c:tx>
          <c:spPr>
            <a:solidFill>
              <a:srgbClr val="1F4E78"/>
            </a:solidFill>
            <a:ln w="12600">
              <a:solidFill>
                <a:srgbClr val="1F4E7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1F4E78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Досмотр!$J$4:$J$9</c:f>
              <c:strCache>
                <c:ptCount val="6"/>
                <c:pt idx="0">
                  <c:v>Оружие</c:v>
                </c:pt>
                <c:pt idx="1">
                  <c:v>Колющее</c:v>
                </c:pt>
                <c:pt idx="2">
                  <c:v>Аэрозоль</c:v>
                </c:pt>
                <c:pt idx="3">
                  <c:v>Спирт</c:v>
                </c:pt>
                <c:pt idx="4">
                  <c:v>Пиротехника</c:v>
                </c:pt>
                <c:pt idx="5">
                  <c:v>Всего запрещённых</c:v>
                </c:pt>
              </c:strCache>
            </c:strRef>
          </c:cat>
          <c:val>
            <c:numRef>
              <c:f>Досмотр!$N$4:$N$9</c:f>
              <c:numCache>
                <c:formatCode>0.00</c:formatCode>
                <c:ptCount val="6"/>
                <c:pt idx="0">
                  <c:v>0.619495524144838</c:v>
                </c:pt>
                <c:pt idx="1">
                  <c:v>35.0634466665978</c:v>
                </c:pt>
                <c:pt idx="2">
                  <c:v>13.6495513819913</c:v>
                </c:pt>
                <c:pt idx="3">
                  <c:v>11.9356137651905</c:v>
                </c:pt>
                <c:pt idx="4">
                  <c:v>0.144548955633796</c:v>
                </c:pt>
                <c:pt idx="5">
                  <c:v>61.4126562935583</c:v>
                </c:pt>
              </c:numCache>
            </c:numRef>
          </c:val>
        </c:ser>
        <c:gapWidth val="60"/>
        <c:overlap val="0"/>
        <c:axId val="95882646"/>
        <c:axId val="41757521"/>
      </c:barChart>
      <c:catAx>
        <c:axId val="95882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757521"/>
        <c:crosses val="autoZero"/>
        <c:auto val="1"/>
        <c:lblAlgn val="ctr"/>
        <c:lblOffset val="100"/>
        <c:noMultiLvlLbl val="0"/>
      </c:catAx>
      <c:valAx>
        <c:axId val="41757521"/>
        <c:scaling>
          <c:orientation val="minMax"/>
          <c:max val="8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8826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Вариант 5. Изменение август к июлю: по количеству и по конверсии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Досмотр!O3</c:f>
              <c:strCache>
                <c:ptCount val="1"/>
                <c:pt idx="0">
                  <c:v>Изм. кол-ва, %</c:v>
                </c:pt>
              </c:strCache>
            </c:strRef>
          </c:tx>
          <c:spPr>
            <a:solidFill>
              <a:srgbClr val="A5A5A5"/>
            </a:solidFill>
            <a:ln w="12600">
              <a:solidFill>
                <a:srgbClr val="A5A5A5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A5A5A5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Досмотр!$J$4:$J$9</c:f>
              <c:strCache>
                <c:ptCount val="6"/>
                <c:pt idx="0">
                  <c:v>Оружие</c:v>
                </c:pt>
                <c:pt idx="1">
                  <c:v>Колющее</c:v>
                </c:pt>
                <c:pt idx="2">
                  <c:v>Аэрозоль</c:v>
                </c:pt>
                <c:pt idx="3">
                  <c:v>Спирт</c:v>
                </c:pt>
                <c:pt idx="4">
                  <c:v>Пиротехника</c:v>
                </c:pt>
                <c:pt idx="5">
                  <c:v>Всего запрещённых</c:v>
                </c:pt>
              </c:strCache>
            </c:strRef>
          </c:cat>
          <c:val>
            <c:numRef>
              <c:f>Досмотр!$O$4:$O$9</c:f>
              <c:numCache>
                <c:formatCode>\+0.0%;\-0.0%;0.0%</c:formatCode>
                <c:ptCount val="6"/>
                <c:pt idx="0">
                  <c:v>0.25</c:v>
                </c:pt>
                <c:pt idx="1">
                  <c:v>-0.0104895104895105</c:v>
                </c:pt>
                <c:pt idx="2">
                  <c:v>-0.241102181400689</c:v>
                </c:pt>
                <c:pt idx="3">
                  <c:v>0.015817223198594</c:v>
                </c:pt>
                <c:pt idx="4">
                  <c:v>0.4</c:v>
                </c:pt>
                <c:pt idx="5">
                  <c:v>-0.0662480376766091</c:v>
                </c:pt>
              </c:numCache>
            </c:numRef>
          </c:val>
        </c:ser>
        <c:ser>
          <c:idx val="1"/>
          <c:order val="1"/>
          <c:tx>
            <c:strRef>
              <c:f>Досмотр!P3</c:f>
              <c:strCache>
                <c:ptCount val="1"/>
                <c:pt idx="0">
                  <c:v>Изм. конверсии, %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C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C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Досмотр!$J$4:$J$9</c:f>
              <c:strCache>
                <c:ptCount val="6"/>
                <c:pt idx="0">
                  <c:v>Оружие</c:v>
                </c:pt>
                <c:pt idx="1">
                  <c:v>Колющее</c:v>
                </c:pt>
                <c:pt idx="2">
                  <c:v>Аэрозоль</c:v>
                </c:pt>
                <c:pt idx="3">
                  <c:v>Спирт</c:v>
                </c:pt>
                <c:pt idx="4">
                  <c:v>Пиротехника</c:v>
                </c:pt>
                <c:pt idx="5">
                  <c:v>Всего запрещённых</c:v>
                </c:pt>
              </c:strCache>
            </c:strRef>
          </c:cat>
          <c:val>
            <c:numRef>
              <c:f>Досмотр!$P$4:$P$9</c:f>
              <c:numCache>
                <c:formatCode>\+0.0%;\-0.0%;0.0%</c:formatCode>
                <c:ptCount val="6"/>
                <c:pt idx="0">
                  <c:v>0.127079181852911</c:v>
                </c:pt>
                <c:pt idx="1">
                  <c:v>-0.107794661638115</c:v>
                </c:pt>
                <c:pt idx="2">
                  <c:v>-0.315729654002504</c:v>
                </c:pt>
                <c:pt idx="3">
                  <c:v>-0.084074844132186</c:v>
                </c:pt>
                <c:pt idx="4">
                  <c:v>0.262328683675261</c:v>
                </c:pt>
                <c:pt idx="5">
                  <c:v>-0.158070081800802</c:v>
                </c:pt>
              </c:numCache>
            </c:numRef>
          </c:val>
        </c:ser>
        <c:gapWidth val="50"/>
        <c:overlap val="0"/>
        <c:axId val="88778351"/>
        <c:axId val="48163874"/>
      </c:barChart>
      <c:catAx>
        <c:axId val="887783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163874"/>
        <c:crosses val="autoZero"/>
        <c:auto val="1"/>
        <c:lblAlgn val="ctr"/>
        <c:lblOffset val="100"/>
        <c:noMultiLvlLbl val="0"/>
      </c:catAx>
      <c:valAx>
        <c:axId val="48163874"/>
        <c:scaling>
          <c:orientation val="minMax"/>
          <c:max val="0.6"/>
          <c:min val="-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+0%;\-0%;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77835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Вариант 6. Конверсия по предметам, посетители в подписях месяцев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Досмотр!$H$17</c:f>
              <c:strCache>
                <c:ptCount val="1"/>
                <c:pt idx="0">
                  <c:v>Всего (3185 -&gt; 2974 шт, -6,6%)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Досмотр!$I$15:$I$16</c:f>
              <c:strCache>
                <c:ptCount val="2"/>
                <c:pt idx="0">
                  <c:v>Июль
436 644 посетителей</c:v>
                </c:pt>
                <c:pt idx="1">
                  <c:v>Август
484 265 посетителей</c:v>
                </c:pt>
              </c:strCache>
            </c:strRef>
          </c:cat>
          <c:val>
            <c:numRef>
              <c:f>Досмотр!$H$15:$H$16</c:f>
              <c:numCache>
                <c:formatCode>0.000%</c:formatCode>
                <c:ptCount val="2"/>
                <c:pt idx="0">
                  <c:v>0.00729427176372514</c:v>
                </c:pt>
                <c:pt idx="1">
                  <c:v>0.00614126562935583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Досмотр!$D$17</c:f>
              <c:strCache>
                <c:ptCount val="1"/>
                <c:pt idx="0">
                  <c:v>Колющее (1716 -&gt; 1698 шт, -1%)</c:v>
                </c:pt>
              </c:strCache>
            </c:strRef>
          </c:tx>
          <c:spPr>
            <a:solidFill>
              <a:srgbClr val="1F4E78"/>
            </a:solidFill>
            <a:ln w="28440">
              <a:solidFill>
                <a:srgbClr val="1F4E78"/>
              </a:solidFill>
              <a:round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Pt>
            <c:idx val="0"/>
            <c:marker>
              <c:symbol val="circle"/>
              <c:size val="7"/>
              <c:spPr>
                <a:solidFill>
                  <a:srgbClr val="1F4E78"/>
                </a:solidFill>
              </c:spPr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Досмотр!$I$15:$I$16</c:f>
              <c:strCache>
                <c:ptCount val="2"/>
                <c:pt idx="0">
                  <c:v>Июль
436 644 посетителей</c:v>
                </c:pt>
                <c:pt idx="1">
                  <c:v>Август
484 265 посетителей</c:v>
                </c:pt>
              </c:strCache>
            </c:strRef>
          </c:cat>
          <c:val>
            <c:numRef>
              <c:f>Досмотр!$D$15:$D$16</c:f>
              <c:numCache>
                <c:formatCode>0.000%</c:formatCode>
                <c:ptCount val="2"/>
                <c:pt idx="0">
                  <c:v>0.00392997499106824</c:v>
                </c:pt>
                <c:pt idx="1">
                  <c:v>0.00350634466665978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Досмотр!$E$17</c:f>
              <c:strCache>
                <c:ptCount val="1"/>
                <c:pt idx="0">
                  <c:v>Аэрозоль (871 -&gt; 661 шт, -24,1%)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circle"/>
            <c:size val="7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Досмотр!$I$15:$I$16</c:f>
              <c:strCache>
                <c:ptCount val="2"/>
                <c:pt idx="0">
                  <c:v>Июль
436 644 посетителей</c:v>
                </c:pt>
                <c:pt idx="1">
                  <c:v>Август
484 265 посетителей</c:v>
                </c:pt>
              </c:strCache>
            </c:strRef>
          </c:cat>
          <c:val>
            <c:numRef>
              <c:f>Досмотр!$E$15:$E$16</c:f>
              <c:numCache>
                <c:formatCode>0.000%</c:formatCode>
                <c:ptCount val="2"/>
                <c:pt idx="0">
                  <c:v>0.00199476003334524</c:v>
                </c:pt>
                <c:pt idx="1">
                  <c:v>0.00136495513819913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Досмотр!$F$17</c:f>
              <c:strCache>
                <c:ptCount val="1"/>
                <c:pt idx="0">
                  <c:v>Спирт (569 -&gt; 578 шт, +1,6%)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Досмотр!$I$15:$I$16</c:f>
              <c:strCache>
                <c:ptCount val="2"/>
                <c:pt idx="0">
                  <c:v>Июль
436 644 посетителей</c:v>
                </c:pt>
                <c:pt idx="1">
                  <c:v>Август
484 265 посетителей</c:v>
                </c:pt>
              </c:strCache>
            </c:strRef>
          </c:cat>
          <c:val>
            <c:numRef>
              <c:f>Досмотр!$F$15:$F$16</c:f>
              <c:numCache>
                <c:formatCode>0.000%</c:formatCode>
                <c:ptCount val="2"/>
                <c:pt idx="0">
                  <c:v>0.00130312107804069</c:v>
                </c:pt>
                <c:pt idx="1">
                  <c:v>0.00119356137651905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Досмотр!$C$17</c:f>
              <c:strCache>
                <c:ptCount val="1"/>
                <c:pt idx="0">
                  <c:v>Оружие (24 -&gt; 30 шт, +25%)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Досмотр!$I$15:$I$16</c:f>
              <c:strCache>
                <c:ptCount val="2"/>
                <c:pt idx="0">
                  <c:v>Июль
436 644 посетителей</c:v>
                </c:pt>
                <c:pt idx="1">
                  <c:v>Август
484 265 посетителей</c:v>
                </c:pt>
              </c:strCache>
            </c:strRef>
          </c:cat>
          <c:val>
            <c:numRef>
              <c:f>Досмотр!$C$15:$C$16</c:f>
              <c:numCache>
                <c:formatCode>0.0000%</c:formatCode>
                <c:ptCount val="2"/>
                <c:pt idx="0">
                  <c:v>5.49646851897656E-005</c:v>
                </c:pt>
                <c:pt idx="1">
                  <c:v>6.19495524144838E-005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Досмотр!$G$17</c:f>
              <c:strCache>
                <c:ptCount val="1"/>
                <c:pt idx="0">
                  <c:v>Пиротехника (5 -&gt; 7 шт, +40%)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circle"/>
            <c:size val="7"/>
            <c:spPr>
              <a:solidFill>
                <a:srgbClr val="7030A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Досмотр!$I$15:$I$16</c:f>
              <c:strCache>
                <c:ptCount val="2"/>
                <c:pt idx="0">
                  <c:v>Июль
436 644 посетителей</c:v>
                </c:pt>
                <c:pt idx="1">
                  <c:v>Август
484 265 посетителей</c:v>
                </c:pt>
              </c:strCache>
            </c:strRef>
          </c:cat>
          <c:val>
            <c:numRef>
              <c:f>Досмотр!$G$15:$G$16</c:f>
              <c:numCache>
                <c:formatCode>0.0000%</c:formatCode>
                <c:ptCount val="2"/>
                <c:pt idx="0">
                  <c:v>1.14509760812012E-005</c:v>
                </c:pt>
                <c:pt idx="1">
                  <c:v>1.44548955633796E-005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1087556"/>
        <c:axId val="42717521"/>
      </c:lineChart>
      <c:catAx>
        <c:axId val="410875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717521"/>
        <c:crosses val="autoZero"/>
        <c:auto val="1"/>
        <c:lblAlgn val="ctr"/>
        <c:lblOffset val="100"/>
        <c:noMultiLvlLbl val="0"/>
      </c:catAx>
      <c:valAx>
        <c:axId val="42717521"/>
        <c:scaling>
          <c:logBase val="10"/>
          <c:orientation val="minMax"/>
          <c:max val="0.01"/>
          <c:min val="1E-00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Конверсия (логарифмическая шкала)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0.00005]0.000%;[&lt;0.0005]0.00%;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0875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Вариант 7. Из чего складываются изъятия (доля каждого предмета)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Досмотр!K12</c:f>
              <c:strCache>
                <c:ptCount val="1"/>
                <c:pt idx="0">
                  <c:v>Оружие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FFFFF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Досмотр!$J$13:$J$14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Досмотр!$K$13:$K$14</c:f>
              <c:numCache>
                <c:formatCode>0.0%</c:formatCode>
                <c:ptCount val="2"/>
                <c:pt idx="0">
                  <c:v>0.00753532182103611</c:v>
                </c:pt>
                <c:pt idx="1">
                  <c:v>0.0100874243443174</c:v>
                </c:pt>
              </c:numCache>
            </c:numRef>
          </c:val>
        </c:ser>
        <c:ser>
          <c:idx val="1"/>
          <c:order val="1"/>
          <c:tx>
            <c:strRef>
              <c:f>Досмотр!L12</c:f>
              <c:strCache>
                <c:ptCount val="1"/>
                <c:pt idx="0">
                  <c:v>Колющее</c:v>
                </c:pt>
              </c:strCache>
            </c:strRef>
          </c:tx>
          <c:spPr>
            <a:solidFill>
              <a:srgbClr val="1F4E78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FFFFF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Досмотр!$J$13:$J$14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Досмотр!$L$13:$L$14</c:f>
              <c:numCache>
                <c:formatCode>0.0%</c:formatCode>
                <c:ptCount val="2"/>
                <c:pt idx="0">
                  <c:v>0.538775510204082</c:v>
                </c:pt>
                <c:pt idx="1">
                  <c:v>0.570948217888366</c:v>
                </c:pt>
              </c:numCache>
            </c:numRef>
          </c:val>
        </c:ser>
        <c:ser>
          <c:idx val="2"/>
          <c:order val="2"/>
          <c:tx>
            <c:strRef>
              <c:f>Досмотр!M12</c:f>
              <c:strCache>
                <c:ptCount val="1"/>
                <c:pt idx="0">
                  <c:v>Аэрозоль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FFFFF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Досмотр!$J$13:$J$14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Досмотр!$M$13:$M$14</c:f>
              <c:numCache>
                <c:formatCode>0.0%</c:formatCode>
                <c:ptCount val="2"/>
                <c:pt idx="0">
                  <c:v>0.273469387755102</c:v>
                </c:pt>
                <c:pt idx="1">
                  <c:v>0.222259583053127</c:v>
                </c:pt>
              </c:numCache>
            </c:numRef>
          </c:val>
        </c:ser>
        <c:ser>
          <c:idx val="3"/>
          <c:order val="3"/>
          <c:tx>
            <c:strRef>
              <c:f>Досмотр!N12</c:f>
              <c:strCache>
                <c:ptCount val="1"/>
                <c:pt idx="0">
                  <c:v>Спирт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FFFFF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Досмотр!$J$13:$J$14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Досмотр!$N$13:$N$14</c:f>
              <c:numCache>
                <c:formatCode>0.0%</c:formatCode>
                <c:ptCount val="2"/>
                <c:pt idx="0">
                  <c:v>0.178649921507064</c:v>
                </c:pt>
                <c:pt idx="1">
                  <c:v>0.194351042367182</c:v>
                </c:pt>
              </c:numCache>
            </c:numRef>
          </c:val>
        </c:ser>
        <c:ser>
          <c:idx val="4"/>
          <c:order val="4"/>
          <c:tx>
            <c:strRef>
              <c:f>Досмотр!O12</c:f>
              <c:strCache>
                <c:ptCount val="1"/>
                <c:pt idx="0">
                  <c:v>Пиротехника</c:v>
                </c:pt>
              </c:strCache>
            </c:strRef>
          </c:tx>
          <c:spPr>
            <a:solidFill>
              <a:srgbClr val="7030A0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FFFFF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Досмотр!$J$13:$J$14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Досмотр!$O$13:$O$14</c:f>
              <c:numCache>
                <c:formatCode>0.0%</c:formatCode>
                <c:ptCount val="2"/>
                <c:pt idx="0">
                  <c:v>0.00156985871271586</c:v>
                </c:pt>
                <c:pt idx="1">
                  <c:v>0.0023537323470074</c:v>
                </c:pt>
              </c:numCache>
            </c:numRef>
          </c:val>
        </c:ser>
        <c:gapWidth val="80"/>
        <c:overlap val="100"/>
        <c:axId val="13173418"/>
        <c:axId val="46617796"/>
      </c:barChart>
      <c:catAx>
        <c:axId val="13173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617796"/>
        <c:crosses val="autoZero"/>
        <c:auto val="1"/>
        <c:lblAlgn val="ctr"/>
        <c:lblOffset val="100"/>
        <c:noMultiLvlLbl val="0"/>
      </c:catAx>
      <c:valAx>
        <c:axId val="4661779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1734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8</xdr:col>
      <xdr:colOff>407880</xdr:colOff>
      <xdr:row>51</xdr:row>
      <xdr:rowOff>23400</xdr:rowOff>
    </xdr:to>
    <xdr:graphicFrame>
      <xdr:nvGraphicFramePr>
        <xdr:cNvPr id="1" name="Chart 1"/>
        <xdr:cNvGraphicFramePr/>
      </xdr:nvGraphicFramePr>
      <xdr:xfrm>
        <a:off x="0" y="5117400"/>
        <a:ext cx="935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55</xdr:row>
      <xdr:rowOff>0</xdr:rowOff>
    </xdr:from>
    <xdr:to>
      <xdr:col>8</xdr:col>
      <xdr:colOff>407880</xdr:colOff>
      <xdr:row>81</xdr:row>
      <xdr:rowOff>86400</xdr:rowOff>
    </xdr:to>
    <xdr:graphicFrame>
      <xdr:nvGraphicFramePr>
        <xdr:cNvPr id="2" name="Chart 2"/>
        <xdr:cNvGraphicFramePr/>
      </xdr:nvGraphicFramePr>
      <xdr:xfrm>
        <a:off x="0" y="1197540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85</xdr:row>
      <xdr:rowOff>0</xdr:rowOff>
    </xdr:from>
    <xdr:to>
      <xdr:col>8</xdr:col>
      <xdr:colOff>407880</xdr:colOff>
      <xdr:row>111</xdr:row>
      <xdr:rowOff>86400</xdr:rowOff>
    </xdr:to>
    <xdr:graphicFrame>
      <xdr:nvGraphicFramePr>
        <xdr:cNvPr id="3" name="Chart 3"/>
        <xdr:cNvGraphicFramePr/>
      </xdr:nvGraphicFramePr>
      <xdr:xfrm>
        <a:off x="0" y="1769040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115</xdr:row>
      <xdr:rowOff>0</xdr:rowOff>
    </xdr:from>
    <xdr:to>
      <xdr:col>8</xdr:col>
      <xdr:colOff>407880</xdr:colOff>
      <xdr:row>141</xdr:row>
      <xdr:rowOff>86400</xdr:rowOff>
    </xdr:to>
    <xdr:graphicFrame>
      <xdr:nvGraphicFramePr>
        <xdr:cNvPr id="4" name="Chart 4"/>
        <xdr:cNvGraphicFramePr/>
      </xdr:nvGraphicFramePr>
      <xdr:xfrm>
        <a:off x="0" y="2340540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145</xdr:row>
      <xdr:rowOff>0</xdr:rowOff>
    </xdr:from>
    <xdr:to>
      <xdr:col>8</xdr:col>
      <xdr:colOff>407880</xdr:colOff>
      <xdr:row>171</xdr:row>
      <xdr:rowOff>86400</xdr:rowOff>
    </xdr:to>
    <xdr:graphicFrame>
      <xdr:nvGraphicFramePr>
        <xdr:cNvPr id="5" name="Chart 5"/>
        <xdr:cNvGraphicFramePr/>
      </xdr:nvGraphicFramePr>
      <xdr:xfrm>
        <a:off x="0" y="2912040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175</xdr:row>
      <xdr:rowOff>0</xdr:rowOff>
    </xdr:from>
    <xdr:to>
      <xdr:col>8</xdr:col>
      <xdr:colOff>407880</xdr:colOff>
      <xdr:row>207</xdr:row>
      <xdr:rowOff>23400</xdr:rowOff>
    </xdr:to>
    <xdr:graphicFrame>
      <xdr:nvGraphicFramePr>
        <xdr:cNvPr id="6" name="Chart 6"/>
        <xdr:cNvGraphicFramePr/>
      </xdr:nvGraphicFramePr>
      <xdr:xfrm>
        <a:off x="0" y="34835400"/>
        <a:ext cx="935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211</xdr:row>
      <xdr:rowOff>0</xdr:rowOff>
    </xdr:from>
    <xdr:to>
      <xdr:col>8</xdr:col>
      <xdr:colOff>407880</xdr:colOff>
      <xdr:row>237</xdr:row>
      <xdr:rowOff>86400</xdr:rowOff>
    </xdr:to>
    <xdr:graphicFrame>
      <xdr:nvGraphicFramePr>
        <xdr:cNvPr id="7" name="Chart 7"/>
        <xdr:cNvGraphicFramePr/>
      </xdr:nvGraphicFramePr>
      <xdr:xfrm>
        <a:off x="0" y="4169340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  <col collapsed="false" customWidth="true" hidden="false" outlineLevel="0" max="9" min="9" style="0" width="20"/>
    <col collapsed="false" customWidth="true" hidden="false" outlineLevel="0" max="16" min="10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J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/>
      <c r="D3" s="3" t="s">
        <v>4</v>
      </c>
      <c r="E3" s="3"/>
      <c r="F3" s="3" t="s">
        <v>5</v>
      </c>
      <c r="G3" s="3"/>
      <c r="H3" s="3"/>
      <c r="J3" s="3" t="s">
        <v>6</v>
      </c>
      <c r="K3" s="3" t="s">
        <v>3</v>
      </c>
      <c r="L3" s="3" t="s">
        <v>4</v>
      </c>
      <c r="M3" s="3" t="s">
        <v>7</v>
      </c>
      <c r="N3" s="3" t="s">
        <v>8</v>
      </c>
      <c r="O3" s="3" t="s">
        <v>9</v>
      </c>
      <c r="P3" s="3" t="s">
        <v>10</v>
      </c>
    </row>
    <row r="4" customFormat="false" ht="30" hidden="false" customHeight="true" outlineLevel="0" collapsed="false">
      <c r="A4" s="3"/>
      <c r="B4" s="3" t="s">
        <v>11</v>
      </c>
      <c r="C4" s="3" t="s">
        <v>12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J4" s="4" t="str">
        <f aca="false">A6</f>
        <v>Оружие</v>
      </c>
      <c r="K4" s="5" t="n">
        <f aca="false">C6</f>
        <v>5.49646851897656E-005</v>
      </c>
      <c r="L4" s="5" t="n">
        <f aca="false">E6</f>
        <v>6.19495524144838E-005</v>
      </c>
      <c r="M4" s="6" t="n">
        <f aca="false">C6*10000</f>
        <v>0.549646851897656</v>
      </c>
      <c r="N4" s="6" t="n">
        <f aca="false">E6*10000</f>
        <v>0.619495524144838</v>
      </c>
      <c r="O4" s="7" t="n">
        <f aca="false">G6</f>
        <v>0.25</v>
      </c>
      <c r="P4" s="7" t="n">
        <f aca="false">IF(C6=0,"-",E6/C6-1)</f>
        <v>0.127079181852911</v>
      </c>
    </row>
    <row r="5" customFormat="false" ht="15" hidden="false" customHeight="false" outlineLevel="0" collapsed="false">
      <c r="A5" s="8" t="s">
        <v>16</v>
      </c>
      <c r="B5" s="9" t="n">
        <v>436644</v>
      </c>
      <c r="C5" s="10" t="s">
        <v>17</v>
      </c>
      <c r="D5" s="9" t="n">
        <v>484265</v>
      </c>
      <c r="E5" s="10" t="s">
        <v>17</v>
      </c>
      <c r="F5" s="11" t="n">
        <f aca="false">D5-B5</f>
        <v>47621</v>
      </c>
      <c r="G5" s="12" t="n">
        <f aca="false">IF(B5=0,"-",D5/B5-1)</f>
        <v>0.109061386392576</v>
      </c>
      <c r="H5" s="13" t="s">
        <v>17</v>
      </c>
      <c r="J5" s="4" t="str">
        <f aca="false">A7</f>
        <v>Колющее</v>
      </c>
      <c r="K5" s="14" t="n">
        <f aca="false">C7</f>
        <v>0.00392997499106824</v>
      </c>
      <c r="L5" s="14" t="n">
        <f aca="false">E7</f>
        <v>0.00350634466665978</v>
      </c>
      <c r="M5" s="15" t="n">
        <f aca="false">C7*10000</f>
        <v>39.2997499106824</v>
      </c>
      <c r="N5" s="15" t="n">
        <f aca="false">E7*10000</f>
        <v>35.0634466665978</v>
      </c>
      <c r="O5" s="7" t="n">
        <f aca="false">G7</f>
        <v>-0.0104895104895105</v>
      </c>
      <c r="P5" s="7" t="n">
        <f aca="false">IF(C7=0,"-",E7/C7-1)</f>
        <v>-0.107794661638115</v>
      </c>
    </row>
    <row r="6" customFormat="false" ht="15" hidden="false" customHeight="false" outlineLevel="0" collapsed="false">
      <c r="A6" s="16" t="s">
        <v>18</v>
      </c>
      <c r="B6" s="17" t="n">
        <v>24</v>
      </c>
      <c r="C6" s="5" t="n">
        <f aca="false">B6/$B$5</f>
        <v>5.49646851897656E-005</v>
      </c>
      <c r="D6" s="17" t="n">
        <v>30</v>
      </c>
      <c r="E6" s="5" t="n">
        <f aca="false">D6/$D$5</f>
        <v>6.19495524144838E-005</v>
      </c>
      <c r="F6" s="18" t="n">
        <f aca="false">D6-B6</f>
        <v>6</v>
      </c>
      <c r="G6" s="7" t="n">
        <f aca="false">IF(B6=0,"-",D6/B6-1)</f>
        <v>0.25</v>
      </c>
      <c r="H6" s="19" t="n">
        <f aca="false">(E6-C6)*100</f>
        <v>0.000698486722471824</v>
      </c>
      <c r="J6" s="4" t="str">
        <f aca="false">A8</f>
        <v>Аэрозоль</v>
      </c>
      <c r="K6" s="14" t="n">
        <f aca="false">C8</f>
        <v>0.00199476003334524</v>
      </c>
      <c r="L6" s="14" t="n">
        <f aca="false">E8</f>
        <v>0.00136495513819913</v>
      </c>
      <c r="M6" s="15" t="n">
        <f aca="false">C8*10000</f>
        <v>19.9476003334524</v>
      </c>
      <c r="N6" s="15" t="n">
        <f aca="false">E8*10000</f>
        <v>13.6495513819913</v>
      </c>
      <c r="O6" s="7" t="n">
        <f aca="false">G8</f>
        <v>-0.241102181400689</v>
      </c>
      <c r="P6" s="7" t="n">
        <f aca="false">IF(C8=0,"-",E8/C8-1)</f>
        <v>-0.315729654002504</v>
      </c>
    </row>
    <row r="7" customFormat="false" ht="15" hidden="false" customHeight="false" outlineLevel="0" collapsed="false">
      <c r="A7" s="16" t="s">
        <v>19</v>
      </c>
      <c r="B7" s="17" t="n">
        <v>1716</v>
      </c>
      <c r="C7" s="14" t="n">
        <f aca="false">B7/$B$5</f>
        <v>0.00392997499106824</v>
      </c>
      <c r="D7" s="17" t="n">
        <v>1698</v>
      </c>
      <c r="E7" s="14" t="n">
        <f aca="false">D7/$D$5</f>
        <v>0.00350634466665978</v>
      </c>
      <c r="F7" s="18" t="n">
        <f aca="false">D7-B7</f>
        <v>-18</v>
      </c>
      <c r="G7" s="7" t="n">
        <f aca="false">IF(B7=0,"-",D7/B7-1)</f>
        <v>-0.0104895104895105</v>
      </c>
      <c r="H7" s="20" t="n">
        <f aca="false">(E7-C7)*100</f>
        <v>-0.0423630324408455</v>
      </c>
      <c r="J7" s="4" t="str">
        <f aca="false">A9</f>
        <v>Спирт</v>
      </c>
      <c r="K7" s="14" t="n">
        <f aca="false">C9</f>
        <v>0.00130312107804069</v>
      </c>
      <c r="L7" s="14" t="n">
        <f aca="false">E9</f>
        <v>0.00119356137651905</v>
      </c>
      <c r="M7" s="15" t="n">
        <f aca="false">C9*10000</f>
        <v>13.0312107804069</v>
      </c>
      <c r="N7" s="15" t="n">
        <f aca="false">E9*10000</f>
        <v>11.9356137651905</v>
      </c>
      <c r="O7" s="7" t="n">
        <f aca="false">G9</f>
        <v>0.015817223198594</v>
      </c>
      <c r="P7" s="7" t="n">
        <f aca="false">IF(C9=0,"-",E9/C9-1)</f>
        <v>-0.084074844132186</v>
      </c>
    </row>
    <row r="8" customFormat="false" ht="15" hidden="false" customHeight="false" outlineLevel="0" collapsed="false">
      <c r="A8" s="16" t="s">
        <v>20</v>
      </c>
      <c r="B8" s="17" t="n">
        <v>871</v>
      </c>
      <c r="C8" s="14" t="n">
        <f aca="false">B8/$B$5</f>
        <v>0.00199476003334524</v>
      </c>
      <c r="D8" s="17" t="n">
        <v>661</v>
      </c>
      <c r="E8" s="14" t="n">
        <f aca="false">D8/$D$5</f>
        <v>0.00136495513819913</v>
      </c>
      <c r="F8" s="18" t="n">
        <f aca="false">D8-B8</f>
        <v>-210</v>
      </c>
      <c r="G8" s="7" t="n">
        <f aca="false">IF(B8=0,"-",D8/B8-1)</f>
        <v>-0.241102181400689</v>
      </c>
      <c r="H8" s="20" t="n">
        <f aca="false">(E8-C8)*100</f>
        <v>-0.0629804895146116</v>
      </c>
      <c r="J8" s="4" t="str">
        <f aca="false">A10</f>
        <v>Пиротехника</v>
      </c>
      <c r="K8" s="5" t="n">
        <f aca="false">C10</f>
        <v>1.14509760812012E-005</v>
      </c>
      <c r="L8" s="5" t="n">
        <f aca="false">E10</f>
        <v>1.44548955633796E-005</v>
      </c>
      <c r="M8" s="6" t="n">
        <f aca="false">C10*10000</f>
        <v>0.114509760812012</v>
      </c>
      <c r="N8" s="6" t="n">
        <f aca="false">E10*10000</f>
        <v>0.144548955633796</v>
      </c>
      <c r="O8" s="7" t="n">
        <f aca="false">G10</f>
        <v>0.4</v>
      </c>
      <c r="P8" s="7" t="n">
        <f aca="false">IF(C10=0,"-",E10/C10-1)</f>
        <v>0.262328683675261</v>
      </c>
    </row>
    <row r="9" customFormat="false" ht="15" hidden="false" customHeight="false" outlineLevel="0" collapsed="false">
      <c r="A9" s="16" t="s">
        <v>21</v>
      </c>
      <c r="B9" s="17" t="n">
        <v>569</v>
      </c>
      <c r="C9" s="14" t="n">
        <f aca="false">B9/$B$5</f>
        <v>0.00130312107804069</v>
      </c>
      <c r="D9" s="17" t="n">
        <v>578</v>
      </c>
      <c r="E9" s="14" t="n">
        <f aca="false">D9/$D$5</f>
        <v>0.00119356137651905</v>
      </c>
      <c r="F9" s="18" t="n">
        <f aca="false">D9-B9</f>
        <v>9</v>
      </c>
      <c r="G9" s="7" t="n">
        <f aca="false">IF(B9=0,"-",D9/B9-1)</f>
        <v>0.015817223198594</v>
      </c>
      <c r="H9" s="20" t="n">
        <f aca="false">(E9-C9)*100</f>
        <v>-0.0109559701521637</v>
      </c>
      <c r="J9" s="4" t="str">
        <f aca="false">A11</f>
        <v>Всего запрещённых</v>
      </c>
      <c r="K9" s="14" t="n">
        <f aca="false">C11</f>
        <v>0.00729427176372514</v>
      </c>
      <c r="L9" s="14" t="n">
        <f aca="false">E11</f>
        <v>0.00614126562935583</v>
      </c>
      <c r="M9" s="15" t="n">
        <f aca="false">C11*10000</f>
        <v>72.9427176372514</v>
      </c>
      <c r="N9" s="15" t="n">
        <f aca="false">E11*10000</f>
        <v>61.4126562935583</v>
      </c>
      <c r="O9" s="7" t="n">
        <f aca="false">G11</f>
        <v>-0.0662480376766091</v>
      </c>
      <c r="P9" s="7" t="n">
        <f aca="false">IF(C11=0,"-",E11/C11-1)</f>
        <v>-0.158070081800802</v>
      </c>
    </row>
    <row r="10" customFormat="false" ht="15" hidden="false" customHeight="false" outlineLevel="0" collapsed="false">
      <c r="A10" s="16" t="s">
        <v>22</v>
      </c>
      <c r="B10" s="17" t="n">
        <v>5</v>
      </c>
      <c r="C10" s="5" t="n">
        <f aca="false">B10/$B$5</f>
        <v>1.14509760812012E-005</v>
      </c>
      <c r="D10" s="17" t="n">
        <v>7</v>
      </c>
      <c r="E10" s="5" t="n">
        <f aca="false">D10/$D$5</f>
        <v>1.44548955633796E-005</v>
      </c>
      <c r="F10" s="18" t="n">
        <f aca="false">D10-B10</f>
        <v>2</v>
      </c>
      <c r="G10" s="7" t="n">
        <f aca="false">IF(B10=0,"-",D10/B10-1)</f>
        <v>0.4</v>
      </c>
      <c r="H10" s="19" t="n">
        <f aca="false">(E10-C10)*100</f>
        <v>0.000300391948217839</v>
      </c>
    </row>
    <row r="11" customFormat="false" ht="15" hidden="false" customHeight="false" outlineLevel="0" collapsed="false">
      <c r="A11" s="21" t="s">
        <v>23</v>
      </c>
      <c r="B11" s="22" t="n">
        <f aca="false">SUM(B6:B10)</f>
        <v>3185</v>
      </c>
      <c r="C11" s="23" t="n">
        <f aca="false">B11/$B$5</f>
        <v>0.00729427176372514</v>
      </c>
      <c r="D11" s="22" t="n">
        <f aca="false">SUM(D6:D10)</f>
        <v>2974</v>
      </c>
      <c r="E11" s="23" t="n">
        <f aca="false">D11/$D$5</f>
        <v>0.00614126562935583</v>
      </c>
      <c r="F11" s="24" t="n">
        <f aca="false">D11-B11</f>
        <v>-211</v>
      </c>
      <c r="G11" s="25" t="n">
        <f aca="false">IF(B11=0,"-",D11/B11-1)</f>
        <v>-0.0662480376766091</v>
      </c>
      <c r="H11" s="26" t="n">
        <f aca="false">(E11-C11)*100</f>
        <v>-0.115300613436931</v>
      </c>
      <c r="J11" s="2" t="s">
        <v>24</v>
      </c>
    </row>
    <row r="12" customFormat="false" ht="15" hidden="false" customHeight="false" outlineLevel="0" collapsed="false">
      <c r="J12" s="3" t="s">
        <v>25</v>
      </c>
      <c r="K12" s="3" t="s">
        <v>18</v>
      </c>
      <c r="L12" s="3" t="s">
        <v>19</v>
      </c>
      <c r="M12" s="3" t="s">
        <v>20</v>
      </c>
      <c r="N12" s="3" t="s">
        <v>21</v>
      </c>
      <c r="O12" s="3" t="s">
        <v>22</v>
      </c>
    </row>
    <row r="13" customFormat="false" ht="15" hidden="false" customHeight="false" outlineLevel="0" collapsed="false">
      <c r="A13" s="2" t="s">
        <v>26</v>
      </c>
      <c r="J13" s="27" t="s">
        <v>3</v>
      </c>
      <c r="K13" s="28" t="n">
        <f aca="false">B6/B11</f>
        <v>0.00753532182103611</v>
      </c>
      <c r="L13" s="28" t="n">
        <f aca="false">B7/B11</f>
        <v>0.538775510204082</v>
      </c>
      <c r="M13" s="28" t="n">
        <f aca="false">B8/B11</f>
        <v>0.273469387755102</v>
      </c>
      <c r="N13" s="28" t="n">
        <f aca="false">B9/B11</f>
        <v>0.178649921507064</v>
      </c>
      <c r="O13" s="28" t="n">
        <f aca="false">B10/B11</f>
        <v>0.00156985871271586</v>
      </c>
    </row>
    <row r="14" customFormat="false" ht="26.85" hidden="false" customHeight="false" outlineLevel="0" collapsed="false">
      <c r="A14" s="3" t="s">
        <v>25</v>
      </c>
      <c r="B14" s="3" t="s">
        <v>27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32</v>
      </c>
      <c r="H14" s="3" t="s">
        <v>33</v>
      </c>
      <c r="I14" s="3" t="s">
        <v>34</v>
      </c>
      <c r="J14" s="27" t="s">
        <v>4</v>
      </c>
      <c r="K14" s="28" t="n">
        <f aca="false">D6/D11</f>
        <v>0.0100874243443174</v>
      </c>
      <c r="L14" s="28" t="n">
        <f aca="false">D7/D11</f>
        <v>0.570948217888366</v>
      </c>
      <c r="M14" s="28" t="n">
        <f aca="false">D8/D11</f>
        <v>0.222259583053127</v>
      </c>
      <c r="N14" s="28" t="n">
        <f aca="false">D9/D11</f>
        <v>0.194351042367182</v>
      </c>
      <c r="O14" s="28" t="n">
        <f aca="false">D10/D11</f>
        <v>0.0023537323470074</v>
      </c>
    </row>
    <row r="15" customFormat="false" ht="39.55" hidden="false" customHeight="false" outlineLevel="0" collapsed="false">
      <c r="A15" s="16" t="s">
        <v>3</v>
      </c>
      <c r="B15" s="29" t="n">
        <f aca="false">B5</f>
        <v>436644</v>
      </c>
      <c r="C15" s="5" t="n">
        <f aca="false">C6</f>
        <v>5.49646851897656E-005</v>
      </c>
      <c r="D15" s="14" t="n">
        <f aca="false">C7</f>
        <v>0.00392997499106824</v>
      </c>
      <c r="E15" s="14" t="n">
        <f aca="false">C8</f>
        <v>0.00199476003334524</v>
      </c>
      <c r="F15" s="14" t="n">
        <f aca="false">C9</f>
        <v>0.00130312107804069</v>
      </c>
      <c r="G15" s="5" t="n">
        <f aca="false">C10</f>
        <v>1.14509760812012E-005</v>
      </c>
      <c r="H15" s="14" t="n">
        <f aca="false">C11</f>
        <v>0.00729427176372514</v>
      </c>
      <c r="I15" s="30" t="str">
        <f aca="false">"Июль"&amp;CHAR(10)&amp;INT(B5/1000)&amp;" "&amp;TEXT(MOD(B5,1000),"000")&amp;" посетителей"</f>
        <v>Июль
436 644 посетителей</v>
      </c>
    </row>
    <row r="16" customFormat="false" ht="39.55" hidden="false" customHeight="false" outlineLevel="0" collapsed="false">
      <c r="A16" s="16" t="s">
        <v>4</v>
      </c>
      <c r="B16" s="29" t="n">
        <f aca="false">D5</f>
        <v>484265</v>
      </c>
      <c r="C16" s="5" t="n">
        <f aca="false">E6</f>
        <v>6.19495524144838E-005</v>
      </c>
      <c r="D16" s="14" t="n">
        <f aca="false">E7</f>
        <v>0.00350634466665978</v>
      </c>
      <c r="E16" s="14" t="n">
        <f aca="false">E8</f>
        <v>0.00136495513819913</v>
      </c>
      <c r="F16" s="14" t="n">
        <f aca="false">E9</f>
        <v>0.00119356137651905</v>
      </c>
      <c r="G16" s="5" t="n">
        <f aca="false">E10</f>
        <v>1.44548955633796E-005</v>
      </c>
      <c r="H16" s="14" t="n">
        <f aca="false">E11</f>
        <v>0.00614126562935583</v>
      </c>
      <c r="I16" s="30" t="str">
        <f aca="false">"Август"&amp;CHAR(10)&amp;INT(D5/1000)&amp;" "&amp;TEXT(MOD(D5,1000),"000")&amp;" посетителей"</f>
        <v>Август
484 265 посетителей</v>
      </c>
    </row>
    <row r="17" customFormat="false" ht="42" hidden="false" customHeight="true" outlineLevel="0" collapsed="false">
      <c r="A17" s="31" t="s">
        <v>35</v>
      </c>
      <c r="B17" s="31" t="str">
        <f aca="false">"Посетители ("&amp;IF(G5&gt;0,"+","")&amp;ROUND(G5*100,1)&amp;"%"&amp;")"</f>
        <v>Посетители (+10,9%)</v>
      </c>
      <c r="C17" s="31" t="str">
        <f aca="false">A6&amp;" ("&amp;B6&amp;" -&gt; "&amp;D6&amp;" шт, "&amp;IF(G6&gt;0,"+","")&amp;ROUND(G6*100,1)&amp;"%"&amp;")"</f>
        <v>Оружие (24 -&gt; 30 шт, +25%)</v>
      </c>
      <c r="D17" s="31" t="str">
        <f aca="false">A7&amp;" ("&amp;B7&amp;" -&gt; "&amp;D7&amp;" шт, "&amp;IF(G7&gt;0,"+","")&amp;ROUND(G7*100,1)&amp;"%"&amp;")"</f>
        <v>Колющее (1716 -&gt; 1698 шт, -1%)</v>
      </c>
      <c r="E17" s="31" t="str">
        <f aca="false">A8&amp;" ("&amp;B8&amp;" -&gt; "&amp;D8&amp;" шт, "&amp;IF(G8&gt;0,"+","")&amp;ROUND(G8*100,1)&amp;"%"&amp;")"</f>
        <v>Аэрозоль (871 -&gt; 661 шт, -24,1%)</v>
      </c>
      <c r="F17" s="31" t="str">
        <f aca="false">A9&amp;" ("&amp;B9&amp;" -&gt; "&amp;D9&amp;" шт, "&amp;IF(G9&gt;0,"+","")&amp;ROUND(G9*100,1)&amp;"%"&amp;")"</f>
        <v>Спирт (569 -&gt; 578 шт, +1,6%)</v>
      </c>
      <c r="G17" s="31" t="str">
        <f aca="false">A10&amp;" ("&amp;B10&amp;" -&gt; "&amp;D10&amp;" шт, "&amp;IF(G10&gt;0,"+","")&amp;ROUND(G10*100,1)&amp;"%"&amp;")"</f>
        <v>Пиротехника (5 -&gt; 7 шт, +40%)</v>
      </c>
      <c r="H17" s="31" t="str">
        <f aca="false">"Всего"&amp;" ("&amp;B11&amp;" -&gt; "&amp;D11&amp;" шт, "&amp;IF(G11&gt;0,"+","")&amp;ROUND(G11*100,1)&amp;"%"&amp;")"</f>
        <v>Всего (3185 -&gt; 2974 шт, -6,6%)</v>
      </c>
    </row>
  </sheetData>
  <mergeCells count="4">
    <mergeCell ref="A3:A4"/>
    <mergeCell ref="B3:C3"/>
    <mergeCell ref="D3:E3"/>
    <mergeCell ref="F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2026-09-24T14:52:00Z</dcterms:created>
  <dc:creator>openpyxl</dc:creator>
  <dc:description/>
  <dc:language>ru-RU</dc:language>
  <cp:lastModifiedBy/>
  <dcterms:modified xsi:type="dcterms:W3CDTF">2026-09-24T17:52:05Z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