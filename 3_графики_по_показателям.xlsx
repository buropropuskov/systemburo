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5.xml" ContentType="application/vnd.openxmlformats-officedocument.drawingml.chart+xml"/>
  <Override PartName="/xl/charts/style4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7.xml" ContentType="application/vnd.openxmlformats-officedocument.drawingml.chart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style6.xml" ContentType="application/vnd.ms-office.chartstyle+xml"/>
  <Override PartName="/xl/charts/style1.xml" ContentType="application/vnd.ms-office.chartstyle+xml"/>
  <Override PartName="/xl/charts/chart1.xml" ContentType="application/vnd.openxmlformats-officedocument.drawingml.chart+xml"/>
  <Override PartName="/xl/charts/colors6.xml" ContentType="application/vnd.ms-office.chartcolorstyle+xml"/>
  <Override PartName="/xl/charts/colors5.xml" ContentType="application/vnd.ms-office.chartcolorstyle+xml"/>
  <Override PartName="/xl/charts/style5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7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A5" authorId="0">
      <text>
        <r>
          <rPr>
            <sz val="10"/>
            <rFont val="Arial"/>
            <family val="2"/>
          </rPr>
          <t xml:space="preserve">Данные предоставлены пользователем.</t>
        </r>
      </text>
    </comment>
    <comment ref="H4" authorId="0">
      <text>
        <r>
          <rPr>
            <sz val="10"/>
            <rFont val="Arial"/>
            <family val="2"/>
          </rPr>
          <t xml:space="preserve">Разница конверсий в процентных пунктах: 0.010 п.п. = на 1 изъятие больше на каждые 10 000 посетителей.</t>
        </r>
      </text>
    </comment>
  </commentList>
</comments>
</file>

<file path=xl/sharedStrings.xml><?xml version="1.0" encoding="utf-8"?>
<sst xmlns="http://schemas.openxmlformats.org/spreadsheetml/2006/main" count="40" uniqueCount="31">
  <si>
    <t xml:space="preserve">Конверсия = число изъятий / число посетителей за месяц. Синие числа - исходные данные, чёрные - формулы.</t>
  </si>
  <si>
    <t xml:space="preserve">Показатель</t>
  </si>
  <si>
    <t xml:space="preserve">Июль</t>
  </si>
  <si>
    <t xml:space="preserve">Август</t>
  </si>
  <si>
    <t xml:space="preserve">Изменение (август к июлю)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</si>
  <si>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</si>
  <si>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</si>
  <si>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</si>
  <si>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</si>
  <si>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</si>
  <si>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</si>
  <si>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</si>
  <si>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</si>
  <si>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</si>
  <si>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</si>
  <si>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</si>
  <si>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</si>
  <si>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запрещённых</t>
  </si>
  <si>
    <t xml:space="preserve">Данные для графика (ссылки на таблицу выше)</t>
  </si>
  <si>
    <t xml:space="preserve">Месяц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</si>
  <si>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</si>
  <si>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</si>
  <si>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</si>
  <si>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</si>
  <si>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</si>
  <si>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</si>
  <si>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</si>
  <si>
    <t xml:space="preserve">Подпись в легенде</t>
  </si>
  <si>
    <t xml:space="preserve">Данные для графиков по показателям (ссылки на таблицу выше)</t>
  </si>
  <si>
    <t xml:space="preserve">Заголовок графика</t>
  </si>
  <si>
    <t xml:space="preserve">Июль и август по каждому показателю. Изменение за месяц в заголовке графика.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</si>
</sst>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0%"/>
    <numFmt numFmtId="167" formatCode="\+#,##0;\-#,##0;0"/>
    <numFmt numFmtId="168" formatCode="\+0.0%;\-0.0%;0.0%"/>
    <numFmt numFmtId="169" formatCode="\+0.000;\-0.000;0.000"/>
    <numFmt numFmtId="170" formatCode="0.0000%"/>
    <numFmt numFmtId="171" formatCode="\+0.0000;\-0.0000;0.0000"/>
    <numFmt numFmtId="172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7030A0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_rels/chart7.xml.rels><?xml version="1.0" encoding="UTF-8"?>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Посетители: +10,9% за месяц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9DC3E6"/>
            </a:solidFill>
            <a:ln w="12600">
              <a:solidFill>
                <a:srgbClr val="9DC3E6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9DC3E6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Досмотр!$B$21:$C$21</c:f>
              <c:numCache>
                <c:formatCode>#,##0</c:formatCode>
                <c:ptCount val="2"/>
                <c:pt idx="0">
                  <c:v>436644</c:v>
                </c:pt>
                <c:pt idx="1">
                  <c:v>484265</c:v>
                </c:pt>
              </c:numCache>
            </c:numRef>
          </c:val>
        </c:ser>
        <c:gapWidth val="70"/>
        <c:overlap val="0"/>
        <c:axId val="54790814"/>
        <c:axId val="90256378"/>
      </c:barChart>
      <c:catAx>
        <c:axId val="54790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0256378"/>
        <c:crosses val="autoZero"/>
        <c:auto val="1"/>
        <c:lblAlgn val="ctr"/>
        <c:lblOffset val="100"/>
        <c:noMultiLvlLbl val="0"/>
      </c:catAx>
      <c:valAx>
        <c:axId val="9025637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79081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Оружие: 24 -&gt; 30 шт (+25%), конверсия +12,7%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C00000"/>
            </a:solidFill>
            <a:ln w="12600">
              <a:solidFill>
                <a:srgbClr val="C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C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Досмотр!$B$22:$C$22</c:f>
              <c:numCache>
                <c:formatCode>0.0000%</c:formatCode>
                <c:ptCount val="2"/>
                <c:pt idx="0">
                  <c:v>5.49646851897656E-005</c:v>
                </c:pt>
                <c:pt idx="1">
                  <c:v>6.19495524144838E-005</c:v>
                </c:pt>
              </c:numCache>
            </c:numRef>
          </c:val>
        </c:ser>
        <c:gapWidth val="70"/>
        <c:overlap val="0"/>
        <c:axId val="11399202"/>
        <c:axId val="64194211"/>
      </c:barChart>
      <c:catAx>
        <c:axId val="113992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194211"/>
        <c:crosses val="autoZero"/>
        <c:auto val="1"/>
        <c:lblAlgn val="ctr"/>
        <c:lblOffset val="100"/>
        <c:noMultiLvlLbl val="0"/>
      </c:catAx>
      <c:valAx>
        <c:axId val="64194211"/>
        <c:scaling>
          <c:orientation val="minMax"/>
          <c:max val="7.74369405181048E-0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139920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Колющее: 1716 -&gt; 1698 шт (-1%), конверсия -10,8%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1F4E78"/>
            </a:solidFill>
            <a:ln w="12600">
              <a:solidFill>
                <a:srgbClr val="1F4E78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1F4E78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Досмотр!$B$23:$C$23</c:f>
              <c:numCache>
                <c:formatCode>0.000%</c:formatCode>
                <c:ptCount val="2"/>
                <c:pt idx="0">
                  <c:v>0.00392997499106824</c:v>
                </c:pt>
                <c:pt idx="1">
                  <c:v>0.00350634466665978</c:v>
                </c:pt>
              </c:numCache>
            </c:numRef>
          </c:val>
        </c:ser>
        <c:gapWidth val="70"/>
        <c:overlap val="0"/>
        <c:axId val="38594891"/>
        <c:axId val="46301549"/>
      </c:barChart>
      <c:catAx>
        <c:axId val="38594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301549"/>
        <c:crosses val="autoZero"/>
        <c:auto val="1"/>
        <c:lblAlgn val="ctr"/>
        <c:lblOffset val="100"/>
        <c:noMultiLvlLbl val="0"/>
      </c:catAx>
      <c:valAx>
        <c:axId val="46301549"/>
        <c:scaling>
          <c:orientation val="minMax"/>
          <c:max val="0.004912468738835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859489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Аэрозоль: 871 -&gt; 661 шт (-24,1%), конверсия -31,6%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70AD47"/>
            </a:solidFill>
            <a:ln w="12600">
              <a:solidFill>
                <a:srgbClr val="70AD47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70AD47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Досмотр!$B$24:$C$24</c:f>
              <c:numCache>
                <c:formatCode>0.000%</c:formatCode>
                <c:ptCount val="2"/>
                <c:pt idx="0">
                  <c:v>0.00199476003334524</c:v>
                </c:pt>
                <c:pt idx="1">
                  <c:v>0.00136495513819913</c:v>
                </c:pt>
              </c:numCache>
            </c:numRef>
          </c:val>
        </c:ser>
        <c:gapWidth val="70"/>
        <c:overlap val="0"/>
        <c:axId val="15113457"/>
        <c:axId val="64721936"/>
      </c:barChart>
      <c:catAx>
        <c:axId val="15113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721936"/>
        <c:crosses val="autoZero"/>
        <c:auto val="1"/>
        <c:lblAlgn val="ctr"/>
        <c:lblOffset val="100"/>
        <c:noMultiLvlLbl val="0"/>
      </c:catAx>
      <c:valAx>
        <c:axId val="64721936"/>
        <c:scaling>
          <c:orientation val="minMax"/>
          <c:max val="0.0024934500416815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11345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Спирт: 569 -&gt; 578 шт (+1,6%), конверсия -8,4%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ED7D31"/>
            </a:solidFill>
            <a:ln w="12600">
              <a:solidFill>
                <a:srgbClr val="ED7D31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ED7D31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Досмотр!$B$25:$C$25</c:f>
              <c:numCache>
                <c:formatCode>0.000%</c:formatCode>
                <c:ptCount val="2"/>
                <c:pt idx="0">
                  <c:v>0.00130312107804069</c:v>
                </c:pt>
                <c:pt idx="1">
                  <c:v>0.00119356137651905</c:v>
                </c:pt>
              </c:numCache>
            </c:numRef>
          </c:val>
        </c:ser>
        <c:gapWidth val="70"/>
        <c:overlap val="0"/>
        <c:axId val="15816341"/>
        <c:axId val="3654533"/>
      </c:barChart>
      <c:catAx>
        <c:axId val="158163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654533"/>
        <c:crosses val="autoZero"/>
        <c:auto val="1"/>
        <c:lblAlgn val="ctr"/>
        <c:lblOffset val="100"/>
        <c:noMultiLvlLbl val="0"/>
      </c:catAx>
      <c:valAx>
        <c:axId val="3654533"/>
        <c:scaling>
          <c:orientation val="minMax"/>
          <c:max val="0.00162890134755087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58163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Пиротехника: 5 -&gt; 7 шт (+40%), конверсия +26,2%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7030A0"/>
            </a:solidFill>
            <a:ln w="12600">
              <a:solidFill>
                <a:srgbClr val="7030A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7030A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Досмотр!$B$26:$C$26</c:f>
              <c:numCache>
                <c:formatCode>0.0000%</c:formatCode>
                <c:ptCount val="2"/>
                <c:pt idx="0">
                  <c:v>1.14509760812012E-005</c:v>
                </c:pt>
                <c:pt idx="1">
                  <c:v>1.44548955633796E-005</c:v>
                </c:pt>
              </c:numCache>
            </c:numRef>
          </c:val>
        </c:ser>
        <c:gapWidth val="70"/>
        <c:overlap val="0"/>
        <c:axId val="47250674"/>
        <c:axId val="37794646"/>
      </c:barChart>
      <c:catAx>
        <c:axId val="472506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7794646"/>
        <c:crosses val="autoZero"/>
        <c:auto val="1"/>
        <c:lblAlgn val="ctr"/>
        <c:lblOffset val="100"/>
        <c:noMultiLvlLbl val="0"/>
      </c:catAx>
      <c:valAx>
        <c:axId val="37794646"/>
        <c:scaling>
          <c:orientation val="minMax"/>
          <c:max val="1.80686194542244E-005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25067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Всего запрещённых: 3185 -&gt; 2974 шт (-6,6%), конверсия -15,8%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"Значение"</c:f>
              <c:strCache>
                <c:ptCount val="1"/>
                <c:pt idx="0">
                  <c:v>Значение</c:v>
                </c:pt>
              </c:strCache>
            </c:strRef>
          </c:tx>
          <c:spPr>
            <a:solidFill>
              <a:srgbClr val="000000"/>
            </a:solidFill>
            <a:ln w="12600">
              <a:solidFill>
                <a:srgbClr val="000000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Досмотр!$B$20:$C$20</c:f>
              <c:multiLvlStrCache>
                <c:ptCount val="1"/>
                <c:lvl>
                  <c:pt idx="0">
                    <c:v>Август</c:v>
                  </c:pt>
                </c:lvl>
                <c:lvl>
                  <c:pt idx="0">
                    <c:v>Июль</c:v>
                  </c:pt>
                </c:lvl>
              </c:multiLvlStrCache>
            </c:multiLvlStrRef>
          </c:cat>
          <c:val>
            <c:numRef>
              <c:f>Досмотр!$B$27:$C$27</c:f>
              <c:numCache>
                <c:formatCode>0.000%</c:formatCode>
                <c:ptCount val="2"/>
                <c:pt idx="0">
                  <c:v>0.00729427176372514</c:v>
                </c:pt>
                <c:pt idx="1">
                  <c:v>0.00614126562935583</c:v>
                </c:pt>
              </c:numCache>
            </c:numRef>
          </c:val>
        </c:ser>
        <c:gapWidth val="70"/>
        <c:overlap val="0"/>
        <c:axId val="6363319"/>
        <c:axId val="85457630"/>
      </c:barChart>
      <c:catAx>
        <c:axId val="6363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457630"/>
        <c:crosses val="autoZero"/>
        <c:auto val="1"/>
        <c:lblAlgn val="ctr"/>
        <c:lblOffset val="100"/>
        <c:noMultiLvlLbl val="0"/>
      </c:catAx>
      <c:valAx>
        <c:axId val="85457630"/>
        <c:scaling>
          <c:orientation val="minMax"/>
          <c:max val="0.00911783970465643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633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0</xdr:rowOff>
    </xdr:from>
    <xdr:to>
      <xdr:col>3</xdr:col>
      <xdr:colOff>762480</xdr:colOff>
      <xdr:row>44</xdr:row>
      <xdr:rowOff>22320</xdr:rowOff>
    </xdr:to>
    <xdr:graphicFrame>
      <xdr:nvGraphicFramePr>
        <xdr:cNvPr id="1" name="Chart 1"/>
        <xdr:cNvGraphicFramePr/>
      </xdr:nvGraphicFramePr>
      <xdr:xfrm>
        <a:off x="0" y="620856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29</xdr:row>
      <xdr:rowOff>0</xdr:rowOff>
    </xdr:from>
    <xdr:to>
      <xdr:col>8</xdr:col>
      <xdr:colOff>198360</xdr:colOff>
      <xdr:row>44</xdr:row>
      <xdr:rowOff>22320</xdr:rowOff>
    </xdr:to>
    <xdr:graphicFrame>
      <xdr:nvGraphicFramePr>
        <xdr:cNvPr id="2" name="Chart 2"/>
        <xdr:cNvGraphicFramePr/>
      </xdr:nvGraphicFramePr>
      <xdr:xfrm>
        <a:off x="4722480" y="620856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3</xdr:col>
      <xdr:colOff>762480</xdr:colOff>
      <xdr:row>61</xdr:row>
      <xdr:rowOff>21960</xdr:rowOff>
    </xdr:to>
    <xdr:graphicFrame>
      <xdr:nvGraphicFramePr>
        <xdr:cNvPr id="3" name="Chart 3"/>
        <xdr:cNvGraphicFramePr/>
      </xdr:nvGraphicFramePr>
      <xdr:xfrm>
        <a:off x="0" y="944676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46</xdr:row>
      <xdr:rowOff>0</xdr:rowOff>
    </xdr:from>
    <xdr:to>
      <xdr:col>8</xdr:col>
      <xdr:colOff>198360</xdr:colOff>
      <xdr:row>61</xdr:row>
      <xdr:rowOff>21960</xdr:rowOff>
    </xdr:to>
    <xdr:graphicFrame>
      <xdr:nvGraphicFramePr>
        <xdr:cNvPr id="4" name="Chart 4"/>
        <xdr:cNvGraphicFramePr/>
      </xdr:nvGraphicFramePr>
      <xdr:xfrm>
        <a:off x="4722480" y="944676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63</xdr:row>
      <xdr:rowOff>0</xdr:rowOff>
    </xdr:from>
    <xdr:to>
      <xdr:col>3</xdr:col>
      <xdr:colOff>762480</xdr:colOff>
      <xdr:row>78</xdr:row>
      <xdr:rowOff>21960</xdr:rowOff>
    </xdr:to>
    <xdr:graphicFrame>
      <xdr:nvGraphicFramePr>
        <xdr:cNvPr id="5" name="Chart 5"/>
        <xdr:cNvGraphicFramePr/>
      </xdr:nvGraphicFramePr>
      <xdr:xfrm>
        <a:off x="0" y="1268532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63</xdr:row>
      <xdr:rowOff>0</xdr:rowOff>
    </xdr:from>
    <xdr:to>
      <xdr:col>8</xdr:col>
      <xdr:colOff>198360</xdr:colOff>
      <xdr:row>78</xdr:row>
      <xdr:rowOff>21960</xdr:rowOff>
    </xdr:to>
    <xdr:graphicFrame>
      <xdr:nvGraphicFramePr>
        <xdr:cNvPr id="6" name="Chart 6"/>
        <xdr:cNvGraphicFramePr/>
      </xdr:nvGraphicFramePr>
      <xdr:xfrm>
        <a:off x="4722480" y="1268532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80</xdr:row>
      <xdr:rowOff>0</xdr:rowOff>
    </xdr:from>
    <xdr:to>
      <xdr:col>3</xdr:col>
      <xdr:colOff>762480</xdr:colOff>
      <xdr:row>95</xdr:row>
      <xdr:rowOff>21960</xdr:rowOff>
    </xdr:to>
    <xdr:graphicFrame>
      <xdr:nvGraphicFramePr>
        <xdr:cNvPr id="7" name="Chart 7"/>
        <xdr:cNvGraphicFramePr/>
      </xdr:nvGraphicFramePr>
      <xdr:xfrm>
        <a:off x="0" y="15923880"/>
        <a:ext cx="4427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1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true" outlineLevel="0" collapsed="false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/>
    </row>
    <row r="4" customFormat="false" ht="30" hidden="false" customHeight="true" outlineLevel="0" collapsed="false">
      <c r="A4" s="2"/>
      <c r="B4" s="2" t="s">
        <v>5</v>
      </c>
      <c r="C4" s="2" t="s">
        <v>6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customFormat="false" ht="15" hidden="false" customHeight="false" outlineLevel="0" collapsed="false">
      <c r="A5" s="3" t="s">
        <v>10</v>
      </c>
      <c r="B5" s="4" t="n">
        <v>436644</v>
      </c>
      <c r="C5" s="5" t="s">
        <v>11</v>
      </c>
      <c r="D5" s="4" t="n">
        <v>484265</v>
      </c>
      <c r="E5" s="5" t="s">
        <v>11</v>
      </c>
      <c r="F5" s="6" t="n">
        <f aca="false">D5-B5</f>
        <v>47621</v>
      </c>
      <c r="G5" s="7" t="n">
        <f aca="false">IF(B5=0,"-",D5/B5-1)</f>
        <v>0.109061386392576</v>
      </c>
      <c r="H5" s="8" t="s">
        <v>11</v>
      </c>
    </row>
    <row r="6" customFormat="false" ht="15" hidden="false" customHeight="false" outlineLevel="0" collapsed="false">
      <c r="A6" s="9" t="s">
        <v>12</v>
      </c>
      <c r="B6" s="10" t="n">
        <v>24</v>
      </c>
      <c r="C6" s="11" t="n">
        <f aca="false">B6/$B$5</f>
        <v>5.49646851897656E-005</v>
      </c>
      <c r="D6" s="10" t="n">
        <v>30</v>
      </c>
      <c r="E6" s="11" t="n">
        <f aca="false">D6/$D$5</f>
        <v>6.19495524144838E-005</v>
      </c>
      <c r="F6" s="12" t="n">
        <f aca="false">D6-B6</f>
        <v>6</v>
      </c>
      <c r="G6" s="13" t="n">
        <f aca="false">IF(B6=0,"-",D6/B6-1)</f>
        <v>0.25</v>
      </c>
      <c r="H6" s="14" t="n">
        <f aca="false">(E6-C6)*100</f>
        <v>0.000698486722471824</v>
      </c>
    </row>
    <row r="7" customFormat="false" ht="15" hidden="false" customHeight="false" outlineLevel="0" collapsed="false">
      <c r="A7" s="9" t="s">
        <v>13</v>
      </c>
      <c r="B7" s="10" t="n">
        <v>1716</v>
      </c>
      <c r="C7" s="15" t="n">
        <f aca="false">B7/$B$5</f>
        <v>0.00392997499106824</v>
      </c>
      <c r="D7" s="10" t="n">
        <v>1698</v>
      </c>
      <c r="E7" s="15" t="n">
        <f aca="false">D7/$D$5</f>
        <v>0.00350634466665978</v>
      </c>
      <c r="F7" s="12" t="n">
        <f aca="false">D7-B7</f>
        <v>-18</v>
      </c>
      <c r="G7" s="13" t="n">
        <f aca="false">IF(B7=0,"-",D7/B7-1)</f>
        <v>-0.0104895104895105</v>
      </c>
      <c r="H7" s="16" t="n">
        <f aca="false">(E7-C7)*100</f>
        <v>-0.0423630324408455</v>
      </c>
    </row>
    <row r="8" customFormat="false" ht="15" hidden="false" customHeight="false" outlineLevel="0" collapsed="false">
      <c r="A8" s="9" t="s">
        <v>14</v>
      </c>
      <c r="B8" s="10" t="n">
        <v>871</v>
      </c>
      <c r="C8" s="15" t="n">
        <f aca="false">B8/$B$5</f>
        <v>0.00199476003334524</v>
      </c>
      <c r="D8" s="10" t="n">
        <v>661</v>
      </c>
      <c r="E8" s="15" t="n">
        <f aca="false">D8/$D$5</f>
        <v>0.00136495513819913</v>
      </c>
      <c r="F8" s="12" t="n">
        <f aca="false">D8-B8</f>
        <v>-210</v>
      </c>
      <c r="G8" s="13" t="n">
        <f aca="false">IF(B8=0,"-",D8/B8-1)</f>
        <v>-0.241102181400689</v>
      </c>
      <c r="H8" s="16" t="n">
        <f aca="false">(E8-C8)*100</f>
        <v>-0.0629804895146116</v>
      </c>
    </row>
    <row r="9" customFormat="false" ht="15" hidden="false" customHeight="false" outlineLevel="0" collapsed="false">
      <c r="A9" s="9" t="s">
        <v>15</v>
      </c>
      <c r="B9" s="10" t="n">
        <v>569</v>
      </c>
      <c r="C9" s="15" t="n">
        <f aca="false">B9/$B$5</f>
        <v>0.00130312107804069</v>
      </c>
      <c r="D9" s="10" t="n">
        <v>578</v>
      </c>
      <c r="E9" s="15" t="n">
        <f aca="false">D9/$D$5</f>
        <v>0.00119356137651905</v>
      </c>
      <c r="F9" s="12" t="n">
        <f aca="false">D9-B9</f>
        <v>9</v>
      </c>
      <c r="G9" s="13" t="n">
        <f aca="false">IF(B9=0,"-",D9/B9-1)</f>
        <v>0.015817223198594</v>
      </c>
      <c r="H9" s="16" t="n">
        <f aca="false">(E9-C9)*100</f>
        <v>-0.0109559701521637</v>
      </c>
    </row>
    <row r="10" customFormat="false" ht="15" hidden="false" customHeight="false" outlineLevel="0" collapsed="false">
      <c r="A10" s="9" t="s">
        <v>16</v>
      </c>
      <c r="B10" s="10" t="n">
        <v>5</v>
      </c>
      <c r="C10" s="11" t="n">
        <f aca="false">B10/$B$5</f>
        <v>1.14509760812012E-005</v>
      </c>
      <c r="D10" s="10" t="n">
        <v>7</v>
      </c>
      <c r="E10" s="11" t="n">
        <f aca="false">D10/$D$5</f>
        <v>1.44548955633796E-005</v>
      </c>
      <c r="F10" s="12" t="n">
        <f aca="false">D10-B10</f>
        <v>2</v>
      </c>
      <c r="G10" s="13" t="n">
        <f aca="false">IF(B10=0,"-",D10/B10-1)</f>
        <v>0.4</v>
      </c>
      <c r="H10" s="14" t="n">
        <f aca="false">(E10-C10)*100</f>
        <v>0.000300391948217839</v>
      </c>
    </row>
    <row r="11" customFormat="false" ht="15" hidden="false" customHeight="false" outlineLevel="0" collapsed="false">
      <c r="A11" s="17" t="s">
        <v>17</v>
      </c>
      <c r="B11" s="18" t="n">
        <f aca="false">SUM(B6:B10)</f>
        <v>3185</v>
      </c>
      <c r="C11" s="19" t="n">
        <f aca="false">B11/$B$5</f>
        <v>0.00729427176372514</v>
      </c>
      <c r="D11" s="18" t="n">
        <f aca="false">SUM(D6:D10)</f>
        <v>2974</v>
      </c>
      <c r="E11" s="19" t="n">
        <f aca="false">D11/$D$5</f>
        <v>0.00614126562935583</v>
      </c>
      <c r="F11" s="20" t="n">
        <f aca="false">D11-B11</f>
        <v>-211</v>
      </c>
      <c r="G11" s="21" t="n">
        <f aca="false">IF(B11=0,"-",D11/B11-1)</f>
        <v>-0.0662480376766091</v>
      </c>
      <c r="H11" s="22" t="n">
        <f aca="false">(E11-C11)*100</f>
        <v>-0.115300613436931</v>
      </c>
    </row>
    <row r="13" customFormat="false" ht="15" hidden="false" customHeight="false" outlineLevel="0" collapsed="false">
      <c r="A13" s="23" t="s">
        <v>18</v>
      </c>
    </row>
    <row r="14" customFormat="false" ht="26.85" hidden="false" customHeight="false" outlineLevel="0" collapsed="false">
      <c r="A14" s="2" t="s">
        <v>19</v>
      </c>
      <c r="B14" s="2" t="s">
        <v>20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2" t="s">
        <v>26</v>
      </c>
    </row>
    <row r="15" customFormat="false" ht="15" hidden="false" customHeight="false" outlineLevel="0" collapsed="false">
      <c r="A15" s="9" t="s">
        <v>2</v>
      </c>
      <c r="B15" s="24" t="n">
        <f aca="false">B5</f>
        <v>436644</v>
      </c>
      <c r="C15" s="11" t="n">
        <f aca="false">C6</f>
        <v>5.49646851897656E-005</v>
      </c>
      <c r="D15" s="15" t="n">
        <f aca="false">C7</f>
        <v>0.00392997499106824</v>
      </c>
      <c r="E15" s="15" t="n">
        <f aca="false">C8</f>
        <v>0.00199476003334524</v>
      </c>
      <c r="F15" s="15" t="n">
        <f aca="false">C9</f>
        <v>0.00130312107804069</v>
      </c>
      <c r="G15" s="11" t="n">
        <f aca="false">C10</f>
        <v>1.14509760812012E-005</v>
      </c>
      <c r="H15" s="15" t="n">
        <f aca="false">C11</f>
        <v>0.00729427176372514</v>
      </c>
    </row>
    <row r="16" customFormat="false" ht="15" hidden="false" customHeight="false" outlineLevel="0" collapsed="false">
      <c r="A16" s="9" t="s">
        <v>3</v>
      </c>
      <c r="B16" s="24" t="n">
        <f aca="false">D5</f>
        <v>484265</v>
      </c>
      <c r="C16" s="11" t="n">
        <f aca="false">E6</f>
        <v>6.19495524144838E-005</v>
      </c>
      <c r="D16" s="15" t="n">
        <f aca="false">E7</f>
        <v>0.00350634466665978</v>
      </c>
      <c r="E16" s="15" t="n">
        <f aca="false">E8</f>
        <v>0.00136495513819913</v>
      </c>
      <c r="F16" s="15" t="n">
        <f aca="false">E9</f>
        <v>0.00119356137651905</v>
      </c>
      <c r="G16" s="11" t="n">
        <f aca="false">E10</f>
        <v>1.44548955633796E-005</v>
      </c>
      <c r="H16" s="15" t="n">
        <f aca="false">E11</f>
        <v>0.00614126562935583</v>
      </c>
    </row>
    <row r="17" customFormat="false" ht="42" hidden="false" customHeight="true" outlineLevel="0" collapsed="false">
      <c r="A17" s="25" t="s">
        <v>27</v>
      </c>
      <c r="B17" s="25" t="str">
        <f aca="false">"Посетители ("&amp;IF(G5&gt;0,"+","")&amp;ROUND(G5*100,1)&amp;"%"&amp;")"</f>
        <v>Посетители (+10,9%)</v>
      </c>
      <c r="C17" s="25" t="str">
        <f aca="false">A6&amp;" ("&amp;B6&amp;" -&gt; "&amp;D6&amp;" шт, "&amp;IF(G6&gt;0,"+","")&amp;ROUND(G6*100,1)&amp;"%"&amp;")"</f>
        <v>Оружие (24 -&gt; 30 шт, +25%)</v>
      </c>
      <c r="D17" s="25" t="str">
        <f aca="false">A7&amp;" ("&amp;B7&amp;" -&gt; "&amp;D7&amp;" шт, "&amp;IF(G7&gt;0,"+","")&amp;ROUND(G7*100,1)&amp;"%"&amp;")"</f>
        <v>Колющее (1716 -&gt; 1698 шт, -1%)</v>
      </c>
      <c r="E17" s="25" t="str">
        <f aca="false">A8&amp;" ("&amp;B8&amp;" -&gt; "&amp;D8&amp;" шт, "&amp;IF(G8&gt;0,"+","")&amp;ROUND(G8*100,1)&amp;"%"&amp;")"</f>
        <v>Аэрозоль (871 -&gt; 661 шт, -24,1%)</v>
      </c>
      <c r="F17" s="25" t="str">
        <f aca="false">A9&amp;" ("&amp;B9&amp;" -&gt; "&amp;D9&amp;" шт, "&amp;IF(G9&gt;0,"+","")&amp;ROUND(G9*100,1)&amp;"%"&amp;")"</f>
        <v>Спирт (569 -&gt; 578 шт, +1,6%)</v>
      </c>
      <c r="G17" s="25" t="str">
        <f aca="false">A10&amp;" ("&amp;B10&amp;" -&gt; "&amp;D10&amp;" шт, "&amp;IF(G10&gt;0,"+","")&amp;ROUND(G10*100,1)&amp;"%"&amp;")"</f>
        <v>Пиротехника (5 -&gt; 7 шт, +40%)</v>
      </c>
      <c r="H17" s="25" t="str">
        <f aca="false">"Всего"&amp;" ("&amp;B11&amp;" -&gt; "&amp;D11&amp;" шт, "&amp;IF(G11&gt;0,"+","")&amp;ROUND(G11*100,1)&amp;"%"&amp;")"</f>
        <v>Всего (3185 -&gt; 2974 шт, -6,6%)</v>
      </c>
    </row>
    <row r="19" customFormat="false" ht="15" hidden="false" customHeight="false" outlineLevel="0" collapsed="false">
      <c r="A19" s="23" t="s">
        <v>28</v>
      </c>
    </row>
    <row r="20" customFormat="false" ht="15" hidden="false" customHeight="true" outlineLevel="0" collapsed="false">
      <c r="A20" s="2" t="s">
        <v>1</v>
      </c>
      <c r="B20" s="2" t="s">
        <v>2</v>
      </c>
      <c r="C20" s="2" t="s">
        <v>3</v>
      </c>
      <c r="D20" s="2" t="s">
        <v>29</v>
      </c>
      <c r="E20" s="2"/>
      <c r="F20" s="2"/>
      <c r="G20" s="2"/>
      <c r="H20" s="2"/>
    </row>
    <row r="21" customFormat="false" ht="15" hidden="false" customHeight="false" outlineLevel="0" collapsed="false">
      <c r="A21" s="9" t="str">
        <f aca="false">A5</f>
        <v>Посетители, чел.</v>
      </c>
      <c r="B21" s="24" t="n">
        <f aca="false">B5</f>
        <v>436644</v>
      </c>
      <c r="C21" s="24" t="n">
        <f aca="false">D5</f>
        <v>484265</v>
      </c>
      <c r="D21" s="26" t="str">
        <f aca="false">"Посетители: "&amp;IF(G5&gt;0,"+","")&amp;ROUND(G5*100,1)&amp;"%"&amp;" за месяц"</f>
        <v>Посетители: +10,9% за месяц</v>
      </c>
      <c r="E21" s="26"/>
      <c r="F21" s="26"/>
      <c r="G21" s="26"/>
      <c r="H21" s="26"/>
    </row>
    <row r="22" customFormat="false" ht="15" hidden="false" customHeight="false" outlineLevel="0" collapsed="false">
      <c r="A22" s="9" t="str">
        <f aca="false">A6</f>
        <v>Оружие</v>
      </c>
      <c r="B22" s="11" t="n">
        <f aca="false">C6</f>
        <v>5.49646851897656E-005</v>
      </c>
      <c r="C22" s="11" t="n">
        <f aca="false">E6</f>
        <v>6.19495524144838E-005</v>
      </c>
      <c r="D22" s="26" t="str">
        <f aca="false">A6&amp;": "&amp;B6&amp;" -&gt; "&amp;D6&amp;" шт ("&amp;IF(G6&gt;0,"+","")&amp;ROUND(G6*100,1)&amp;"%"&amp;"), конверсия "&amp;IF((E6/C6-1)&gt;0,"+","")&amp;ROUND((E6/C6-1)*100,1)&amp;"%"</f>
        <v>Оружие: 24 -&gt; 30 шт (+25%), конверсия +12,7%</v>
      </c>
      <c r="E22" s="26"/>
      <c r="F22" s="26"/>
      <c r="G22" s="26"/>
      <c r="H22" s="26"/>
    </row>
    <row r="23" customFormat="false" ht="15" hidden="false" customHeight="false" outlineLevel="0" collapsed="false">
      <c r="A23" s="9" t="str">
        <f aca="false">A7</f>
        <v>Колющее</v>
      </c>
      <c r="B23" s="15" t="n">
        <f aca="false">C7</f>
        <v>0.00392997499106824</v>
      </c>
      <c r="C23" s="15" t="n">
        <f aca="false">E7</f>
        <v>0.00350634466665978</v>
      </c>
      <c r="D23" s="26" t="str">
        <f aca="false">A7&amp;": "&amp;B7&amp;" -&gt; "&amp;D7&amp;" шт ("&amp;IF(G7&gt;0,"+","")&amp;ROUND(G7*100,1)&amp;"%"&amp;"), конверсия "&amp;IF((E7/C7-1)&gt;0,"+","")&amp;ROUND((E7/C7-1)*100,1)&amp;"%"</f>
        <v>Колющее: 1716 -&gt; 1698 шт (-1%), конверсия -10,8%</v>
      </c>
      <c r="E23" s="26"/>
      <c r="F23" s="26"/>
      <c r="G23" s="26"/>
      <c r="H23" s="26"/>
    </row>
    <row r="24" customFormat="false" ht="15" hidden="false" customHeight="false" outlineLevel="0" collapsed="false">
      <c r="A24" s="9" t="str">
        <f aca="false">A8</f>
        <v>Аэрозоль</v>
      </c>
      <c r="B24" s="15" t="n">
        <f aca="false">C8</f>
        <v>0.00199476003334524</v>
      </c>
      <c r="C24" s="15" t="n">
        <f aca="false">E8</f>
        <v>0.00136495513819913</v>
      </c>
      <c r="D24" s="26" t="str">
        <f aca="false">A8&amp;": "&amp;B8&amp;" -&gt; "&amp;D8&amp;" шт ("&amp;IF(G8&gt;0,"+","")&amp;ROUND(G8*100,1)&amp;"%"&amp;"), конверсия "&amp;IF((E8/C8-1)&gt;0,"+","")&amp;ROUND((E8/C8-1)*100,1)&amp;"%"</f>
        <v>Аэрозоль: 871 -&gt; 661 шт (-24,1%), конверсия -31,6%</v>
      </c>
      <c r="E24" s="26"/>
      <c r="F24" s="26"/>
      <c r="G24" s="26"/>
      <c r="H24" s="26"/>
    </row>
    <row r="25" customFormat="false" ht="15" hidden="false" customHeight="false" outlineLevel="0" collapsed="false">
      <c r="A25" s="9" t="str">
        <f aca="false">A9</f>
        <v>Спирт</v>
      </c>
      <c r="B25" s="15" t="n">
        <f aca="false">C9</f>
        <v>0.00130312107804069</v>
      </c>
      <c r="C25" s="15" t="n">
        <f aca="false">E9</f>
        <v>0.00119356137651905</v>
      </c>
      <c r="D25" s="26" t="str">
        <f aca="false">A9&amp;": "&amp;B9&amp;" -&gt; "&amp;D9&amp;" шт ("&amp;IF(G9&gt;0,"+","")&amp;ROUND(G9*100,1)&amp;"%"&amp;"), конверсия "&amp;IF((E9/C9-1)&gt;0,"+","")&amp;ROUND((E9/C9-1)*100,1)&amp;"%"</f>
        <v>Спирт: 569 -&gt; 578 шт (+1,6%), конверсия -8,4%</v>
      </c>
      <c r="E25" s="26"/>
      <c r="F25" s="26"/>
      <c r="G25" s="26"/>
      <c r="H25" s="26"/>
    </row>
    <row r="26" customFormat="false" ht="15" hidden="false" customHeight="false" outlineLevel="0" collapsed="false">
      <c r="A26" s="9" t="str">
        <f aca="false">A10</f>
        <v>Пиротехника</v>
      </c>
      <c r="B26" s="11" t="n">
        <f aca="false">C10</f>
        <v>1.14509760812012E-005</v>
      </c>
      <c r="C26" s="11" t="n">
        <f aca="false">E10</f>
        <v>1.44548955633796E-005</v>
      </c>
      <c r="D26" s="26" t="str">
        <f aca="false">A10&amp;": "&amp;B10&amp;" -&gt; "&amp;D10&amp;" шт ("&amp;IF(G10&gt;0,"+","")&amp;ROUND(G10*100,1)&amp;"%"&amp;"), конверсия "&amp;IF((E10/C10-1)&gt;0,"+","")&amp;ROUND((E10/C10-1)*100,1)&amp;"%"</f>
        <v>Пиротехника: 5 -&gt; 7 шт (+40%), конверсия +26,2%</v>
      </c>
      <c r="E26" s="26"/>
      <c r="F26" s="26"/>
      <c r="G26" s="26"/>
      <c r="H26" s="26"/>
    </row>
    <row r="27" customFormat="false" ht="15" hidden="false" customHeight="false" outlineLevel="0" collapsed="false">
      <c r="A27" s="9" t="str">
        <f aca="false">A11</f>
        <v>Всего запрещённых</v>
      </c>
      <c r="B27" s="15" t="n">
        <f aca="false">C11</f>
        <v>0.00729427176372514</v>
      </c>
      <c r="C27" s="15" t="n">
        <f aca="false">E11</f>
        <v>0.00614126562935583</v>
      </c>
      <c r="D27" s="26" t="str">
        <f aca="false">"Всего запрещённых"&amp;": "&amp;B11&amp;" -&gt; "&amp;D11&amp;" шт ("&amp;IF(G11&gt;0,"+","")&amp;ROUND(G11*100,1)&amp;"%"&amp;"), конверсия "&amp;IF((E11/C11-1)&gt;0,"+","")&amp;ROUND((E11/C11-1)*100,1)&amp;"%"</f>
        <v>Всего запрещённых: 3185 -&gt; 2974 шт (-6,6%), конверсия -15,8%</v>
      </c>
      <c r="E27" s="26"/>
      <c r="F27" s="26"/>
      <c r="G27" s="26"/>
      <c r="H27" s="26"/>
    </row>
    <row r="29" customFormat="false" ht="15" hidden="false" customHeight="false" outlineLevel="0" collapsed="false">
      <c r="A29" s="1" t="s">
        <v>30</v>
      </c>
    </row>
  </sheetData>
  <mergeCells count="12">
    <mergeCell ref="A3:A4"/>
    <mergeCell ref="B3:C3"/>
    <mergeCell ref="D3:E3"/>
    <mergeCell ref="F3:H3"/>
    <mergeCell ref="D20:H20"/>
    <mergeCell ref="D21:H21"/>
    <mergeCell ref="D22:H22"/>
    <mergeCell ref="D23:H23"/>
    <mergeCell ref="D24:H24"/>
    <mergeCell ref="D25:H25"/>
    <mergeCell ref="D26:H26"/>
    <mergeCell ref="D27:H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2026-09-24T14:52:00Z</dcterms:created>
  <dc:creator>openpyxl</dc:creator>
  <dc:description/>
  <dc:language>ru-RU</dc:language>
  <cp:lastModifiedBy/>
  <dcterms:modified xsi:type="dcterms:W3CDTF">2026-09-24T17:52:08Z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