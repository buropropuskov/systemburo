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Сергей\Desktop\keeq0\Бюро пропусков\"/>
    </mc:Choice>
  </mc:AlternateContent>
  <xr:revisionPtr revIDLastSave="0" documentId="13_ncr:1_{E472A52B-8FC1-46A8-8EE6-CC52DB9C6D93}" xr6:coauthVersionLast="47" xr6:coauthVersionMax="47" xr10:uidLastSave="{00000000-0000-0000-0000-000000000000}"/>
  <bookViews>
    <workbookView xWindow="-98" yWindow="-98" windowWidth="21795" windowHeight="13875" xr2:uid="{FF9840B5-B66C-41C7-A33E-EDBF9A5BE0C7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E9" i="1"/>
  <c r="H9" i="1" s="1"/>
  <c r="C9" i="1"/>
  <c r="H4" i="1"/>
  <c r="D9" i="1"/>
  <c r="B9" i="1"/>
  <c r="E5" i="1"/>
  <c r="H5" i="1" s="1"/>
  <c r="F5" i="1"/>
  <c r="G5" i="1"/>
  <c r="E6" i="1"/>
  <c r="F6" i="1"/>
  <c r="G6" i="1"/>
  <c r="H6" i="1"/>
  <c r="E7" i="1"/>
  <c r="F7" i="1"/>
  <c r="G7" i="1"/>
  <c r="H7" i="1"/>
  <c r="E8" i="1"/>
  <c r="F8" i="1"/>
  <c r="G8" i="1"/>
  <c r="H8" i="1"/>
  <c r="C5" i="1"/>
  <c r="C6" i="1"/>
  <c r="C7" i="1"/>
  <c r="C8" i="1"/>
  <c r="G4" i="1"/>
  <c r="F4" i="1"/>
  <c r="C4" i="1"/>
  <c r="E4" i="1"/>
  <c r="G3" i="1"/>
  <c r="F3" i="1"/>
</calcChain>
</file>

<file path=xl/sharedStrings.xml><?xml version="1.0" encoding="utf-8"?>
<sst xmlns="http://schemas.openxmlformats.org/spreadsheetml/2006/main" count="32" uniqueCount="24">
  <si>
    <t>Показатель</t>
  </si>
  <si>
    <t>Июль</t>
  </si>
  <si>
    <t>Август</t>
  </si>
  <si>
    <t>Кол-во</t>
  </si>
  <si>
    <t>Конверсия</t>
  </si>
  <si>
    <t>Изменение</t>
  </si>
  <si>
    <t>Кол-во, шт.</t>
  </si>
  <si>
    <t>Кол-во, %</t>
  </si>
  <si>
    <t>Посетители</t>
  </si>
  <si>
    <t>-</t>
  </si>
  <si>
    <t>Оружие</t>
  </si>
  <si>
    <t>Колюще</t>
  </si>
  <si>
    <t>Аэрозоль</t>
  </si>
  <si>
    <t>Спирт</t>
  </si>
  <si>
    <t>Пиротехника</t>
  </si>
  <si>
    <t>Всего попыток проноса</t>
  </si>
  <si>
    <t>Данные для графика: посетители и конверсия (ссылки на таблицу выше)</t>
  </si>
  <si>
    <t>Месяц</t>
  </si>
  <si>
    <t>Конв. оружие</t>
  </si>
  <si>
    <t>Конв. колющее</t>
  </si>
  <si>
    <t>Конв. аэрозоль</t>
  </si>
  <si>
    <t>Конв. спирт</t>
  </si>
  <si>
    <t>Конв. пиротехника</t>
  </si>
  <si>
    <t>Конв. 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</si>
</sst>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000%"/>
    <numFmt numFmtId="166" formatCode="\+#,##0;\-#,##0;0"/>
    <numFmt numFmtId="167" formatCode="\+0.0%;\-0.0%;0.0%"/>
    <numFmt numFmtId="168" formatCode="\+0.0000;\-0.0000;0.0000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7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0" fontId="0" fillId="0" borderId="1" xfId="0" applyBorder="1"/>
    <xf numFmtId="0" fontId="0" fillId="0" borderId="19" xfId="0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3" fontId="0" fillId="0" borderId="19" xfId="0" applyNumberFormat="1" applyBorder="1"/>
    <xf numFmtId="3" fontId="0" fillId="0" borderId="1" xfId="0" applyNumberFormat="1" applyBorder="1"/>
    <xf numFmtId="165" fontId="0" fillId="0" borderId="19" xfId="0" applyNumberFormat="1" applyBorder="1"/>
    <xf numFmtId="165" fontId="0" fillId="0" borderId="1" xfId="0" applyNumberFormat="1" applyBorder="1"/>
    <xf numFmtId="164" fontId="0" fillId="0" borderId="19" xfId="0" applyNumberFormat="1" applyBorder="1"/>
    <xf numFmtId="164" fontId="0" fillId="0" borderId="1" xfId="0" applyNumberFormat="1" applyBorder="1"/>
    <xf numFmtId="164" fontId="0" fillId="0" borderId="17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ru-RU"/>
              <a:t>Посетители</a:t>
            </a:r>
            <a:r>
              <a:rPr lang="ru-RU" baseline="0"/>
              <a:t> и конверсия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Посетители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Лист1!$A$13:$A$14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Лист1!$B$13:$B$14</c:f>
              <c:numCache>
                <c:formatCode>#,##0</c:formatCode>
                <c:ptCount val="2"/>
                <c:pt idx="0">
                  <c:v>436644</c:v>
                </c:pt>
                <c:pt idx="1">
                  <c:v>484265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7-4BA0-86E3-188767819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9676047"/>
        <c:axId val="1629638543"/>
      </c:barChart>
      <c:lineChart>
        <c:grouping val="standard"/>
        <c:varyColors val="0"/>
        <c:ser>
          <c:idx val="6"/>
          <c:order val="1"/>
          <c:tx>
            <c:strRef>
              <c:f>Лист1!$A$9</c:f>
              <c:strCache>
                <c:ptCount val="1"/>
                <c:pt idx="0">
                  <c:v>Всего попыток проноса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AE-4F4C-A7BA-12F99D11B63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AE-4F4C-A7BA-12F99D11B6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Лист1!$A$13:$A$14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Лист1!$H$13:$H$14</c:f>
              <c:numCache>
                <c:formatCode>0.000%</c:formatCode>
                <c:ptCount val="2"/>
                <c:pt idx="0">
                  <c:v>7.2942717637251402E-3</c:v>
                </c:pt>
                <c:pt idx="1">
                  <c:v>6.1412656293558278E-3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87-4BA0-86E3-188767819143}"/>
            </c:ext>
          </c:extLst>
        </c:ser>
        <c:ser>
          <c:idx val="1"/>
          <c:order val="2"/>
          <c:tx>
            <c:strRef>
              <c:f>Лист1!$A$4</c:f>
              <c:strCache>
                <c:ptCount val="1"/>
                <c:pt idx="0">
                  <c:v>Оружие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Лист1!$A$13:$A$14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Лист1!$C$13:$C$14</c:f>
              <c:numCache>
                <c:formatCode>0.0000%</c:formatCode>
                <c:ptCount val="2"/>
                <c:pt idx="0">
                  <c:v>5.4964685189765573E-5</c:v>
                </c:pt>
                <c:pt idx="1">
                  <c:v>6.1949552414483812E-5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87-4BA0-86E3-188767819143}"/>
            </c:ext>
          </c:extLst>
        </c:ser>
        <c:ser>
          <c:idx val="2"/>
          <c:order val="3"/>
          <c:tx>
            <c:strRef>
              <c:f>Лист1!$A$5</c:f>
              <c:strCache>
                <c:ptCount val="1"/>
                <c:pt idx="0">
                  <c:v>Колюще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Лист1!$A$13:$A$14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Лист1!$D$13:$D$14</c:f>
              <c:numCache>
                <c:formatCode>0.000%</c:formatCode>
                <c:ptCount val="2"/>
                <c:pt idx="0">
                  <c:v>3.9299749910682389E-3</c:v>
                </c:pt>
                <c:pt idx="1">
                  <c:v>3.5063446666597836E-3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87-4BA0-86E3-188767819143}"/>
            </c:ext>
          </c:extLst>
        </c:ser>
        <c:ser>
          <c:idx val="3"/>
          <c:order val="4"/>
          <c:tx>
            <c:strRef>
              <c:f>Лист1!$A$6</c:f>
              <c:strCache>
                <c:ptCount val="1"/>
                <c:pt idx="0">
                  <c:v>Аэрозоль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Лист1!$A$13:$A$14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Лист1!$E$13:$E$14</c:f>
              <c:numCache>
                <c:formatCode>0.0000%</c:formatCode>
                <c:ptCount val="2"/>
                <c:pt idx="0">
                  <c:v>1.9947600333452423E-3</c:v>
                </c:pt>
                <c:pt idx="1">
                  <c:v>1.3649551381991266E-3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87-4BA0-86E3-188767819143}"/>
            </c:ext>
          </c:extLst>
        </c:ser>
        <c:ser>
          <c:idx val="4"/>
          <c:order val="5"/>
          <c:tx>
            <c:strRef>
              <c:f>Лист1!$A$7</c:f>
              <c:strCache>
                <c:ptCount val="1"/>
                <c:pt idx="0">
                  <c:v>Спирт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Лист1!$A$13:$A$14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Лист1!$F$13:$F$14</c:f>
              <c:numCache>
                <c:formatCode>0.0000%</c:formatCode>
                <c:ptCount val="2"/>
                <c:pt idx="0">
                  <c:v>1.3031210780406921E-3</c:v>
                </c:pt>
                <c:pt idx="1">
                  <c:v>1.1935613765190548E-3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87-4BA0-86E3-188767819143}"/>
            </c:ext>
          </c:extLst>
        </c:ser>
        <c:ser>
          <c:idx val="5"/>
          <c:order val="6"/>
          <c:tx>
            <c:strRef>
              <c:f>Лист1!$A$8</c:f>
              <c:strCache>
                <c:ptCount val="1"/>
                <c:pt idx="0">
                  <c:v>Пиротехника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Лист1!$A$13:$A$14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Лист1!$G$13:$G$14</c:f>
              <c:numCache>
                <c:formatCode>0.0000%</c:formatCode>
                <c:ptCount val="2"/>
                <c:pt idx="0">
                  <c:v>1.1450976081201161E-5</c:v>
                </c:pt>
                <c:pt idx="1">
                  <c:v>1.4454895563379554E-5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87-4BA0-86E3-188767819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732735"/>
        <c:axId val="1795997871"/>
      </c:lineChart>
      <c:catAx>
        <c:axId val="89967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1629638543"/>
        <c:crosses val="autoZero"/>
        <c:auto val="1"/>
        <c:lblAlgn val="ctr"/>
        <c:lblOffset val="100"/>
        <c:noMultiLvlLbl val="0"/>
      </c:catAx>
      <c:valAx>
        <c:axId val="1629638543"/>
        <c:scaling>
          <c:orientation val="minMax"/>
          <c:max val="1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ru-RU"/>
                  <a:t>Посетители,</a:t>
                </a:r>
                <a:r>
                  <a:rPr lang="ru-RU" baseline="0"/>
                  <a:t> кол-во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899676047"/>
        <c:crosses val="autoZero"/>
        <c:crossBetween val="between"/>
      </c:valAx>
      <c:valAx>
        <c:axId val="1795997871"/>
        <c:scaling>
          <c:orientation val="minMax"/>
          <c:max val="1.0000000000000002E-2"/>
          <c:min val="1.0000000000000003E-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ru-RU"/>
                  <a:t>Конверсия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ru-RU"/>
            </a:p>
          </c:txPr>
        </c:title>
        <c:numFmt formatCode="[&lt;0.00005]\ 0.000%;[&lt;0.0005]0.00%;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1656732735"/>
        <c:crosses val="max"/>
        <c:crossBetween val="between"/>
      </c:valAx>
      <c:catAx>
        <c:axId val="1656732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59978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933450</xdr:colOff>
      <xdr:row>16</xdr:row>
      <xdr:rowOff>28574</xdr:rowOff>
    </xdr:from>
    <xdr:to>
      <xdr:col>11</xdr:col>
      <xdr:colOff>566475</xdr:colOff>
      <xdr:row>51</xdr:row>
      <xdr:rowOff>174449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380DEEA-E009-7F36-C71E-18581FE8F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4CF3-8FB9-4693-8970-AAABEF5523ED}">
  <dimension ref="A1:H14"/>
  <sheetViews>
    <sheetView tabSelected="1" topLeftCell="A25" zoomScale="82" workbookViewId="0">
      <selection activeCell="G53" sqref="G53"/>
    </sheetView>
  </sheetViews>
  <sheetFormatPr defaultRowHeight="14.25" x14ac:dyDescent="0.45"/>
  <cols>
    <col min="1" max="1" width="26.6640625" customWidth="1"/>
    <col min="2" max="2" width="10.1328125" bestFit="1" customWidth="1"/>
    <col min="3" max="3" width="11.73046875" bestFit="1" customWidth="1"/>
    <col min="4" max="4" width="13.1328125" bestFit="1" customWidth="1"/>
    <col min="5" max="5" width="13.06640625" bestFit="1" customWidth="1"/>
    <col min="6" max="6" width="11.73046875" bestFit="1" customWidth="1"/>
    <col min="7" max="7" width="15.796875" bestFit="1" customWidth="1"/>
    <col min="8" max="8" width="11.73046875" bestFit="1" customWidth="1"/>
  </cols>
  <sheetData>
    <row r="1" spans="1:8" x14ac:dyDescent="0.45">
      <c r="A1" s="44" t="s">
        <v>0</v>
      </c>
      <c r="B1" s="40" t="s">
        <v>1</v>
      </c>
      <c r="C1" s="41"/>
      <c r="D1" s="40" t="s">
        <v>2</v>
      </c>
      <c r="E1" s="41"/>
      <c r="F1" s="42" t="s">
        <v>5</v>
      </c>
      <c r="G1" s="43"/>
      <c r="H1" s="41"/>
    </row>
    <row r="2" spans="1:8" ht="14.65" thickBot="1" x14ac:dyDescent="0.5">
      <c r="A2" s="45"/>
      <c r="B2" s="4" t="s">
        <v>3</v>
      </c>
      <c r="C2" s="2" t="s">
        <v>4</v>
      </c>
      <c r="D2" s="4" t="s">
        <v>3</v>
      </c>
      <c r="E2" s="2" t="s">
        <v>4</v>
      </c>
      <c r="F2" s="3" t="s">
        <v>6</v>
      </c>
      <c r="G2" s="1" t="s">
        <v>7</v>
      </c>
      <c r="H2" s="2" t="s">
        <v>4</v>
      </c>
    </row>
    <row r="3" spans="1:8" x14ac:dyDescent="0.45">
      <c r="A3" s="28" t="s">
        <v>8</v>
      </c>
      <c r="B3" s="13">
        <v>436644</v>
      </c>
      <c r="C3" s="14" t="s">
        <v>9</v>
      </c>
      <c r="D3" s="13">
        <v>484265</v>
      </c>
      <c r="E3" s="14" t="s">
        <v>9</v>
      </c>
      <c r="F3" s="20">
        <f>D3-B3</f>
        <v>47621</v>
      </c>
      <c r="G3" s="11">
        <f>IF(B3=0,"-",D3/B3-1)</f>
        <v>0.10906138639257601</v>
      </c>
      <c r="H3" s="12" t="s">
        <v>9</v>
      </c>
    </row>
    <row r="4" spans="1:8" x14ac:dyDescent="0.45">
      <c r="A4" s="29" t="s">
        <v>10</v>
      </c>
      <c r="B4" s="15">
        <v>24</v>
      </c>
      <c r="C4" s="16">
        <f>B4/$B$3</f>
        <v>5.4964685189765573E-5</v>
      </c>
      <c r="D4" s="15">
        <v>30</v>
      </c>
      <c r="E4" s="16">
        <f>D4/$D$3</f>
        <v>6.1949552414483812E-5</v>
      </c>
      <c r="F4" s="21">
        <f>D4-B4</f>
        <v>6</v>
      </c>
      <c r="G4" s="5">
        <f>IF(B4=0,"-",D4/B4-1)</f>
        <v>0.25</v>
      </c>
      <c r="H4" s="6">
        <f>(E4-C4)*100</f>
        <v>6.984867224718238E-4</v>
      </c>
    </row>
    <row r="5" spans="1:8" x14ac:dyDescent="0.45">
      <c r="A5" s="29" t="s">
        <v>11</v>
      </c>
      <c r="B5" s="15">
        <v>1716</v>
      </c>
      <c r="C5" s="17">
        <f t="shared" ref="C5:C8" si="0">B5/$B$3</f>
        <v>3.9299749910682389E-3</v>
      </c>
      <c r="D5" s="15">
        <v>1698</v>
      </c>
      <c r="E5" s="17">
        <f t="shared" ref="E5:E8" si="1">D5/$D$3</f>
        <v>3.5063446666597836E-3</v>
      </c>
      <c r="F5" s="21">
        <f t="shared" ref="F5:F8" si="2">D5-B5</f>
        <v>-18</v>
      </c>
      <c r="G5" s="5">
        <f t="shared" ref="G5:G8" si="3">IF(B5=0,"-",D5/B5-1)</f>
        <v>-1.0489510489510523E-2</v>
      </c>
      <c r="H5" s="6">
        <f t="shared" ref="H5:H9" si="4">(E5-C5)*100</f>
        <v>-4.2363032440845536E-2</v>
      </c>
    </row>
    <row r="6" spans="1:8" x14ac:dyDescent="0.45">
      <c r="A6" s="29" t="s">
        <v>12</v>
      </c>
      <c r="B6" s="15">
        <v>871</v>
      </c>
      <c r="C6" s="17">
        <f t="shared" si="0"/>
        <v>1.9947600333452423E-3</v>
      </c>
      <c r="D6" s="15">
        <v>661</v>
      </c>
      <c r="E6" s="17">
        <f t="shared" si="1"/>
        <v>1.3649551381991266E-3</v>
      </c>
      <c r="F6" s="21">
        <f t="shared" si="2"/>
        <v>-210</v>
      </c>
      <c r="G6" s="5">
        <f t="shared" si="3"/>
        <v>-0.24110218140068884</v>
      </c>
      <c r="H6" s="6">
        <f t="shared" si="4"/>
        <v>-6.2980489514611576E-2</v>
      </c>
    </row>
    <row r="7" spans="1:8" x14ac:dyDescent="0.45">
      <c r="A7" s="29" t="s">
        <v>13</v>
      </c>
      <c r="B7" s="15">
        <v>569</v>
      </c>
      <c r="C7" s="17">
        <f t="shared" si="0"/>
        <v>1.3031210780406921E-3</v>
      </c>
      <c r="D7" s="15">
        <v>578</v>
      </c>
      <c r="E7" s="17">
        <f t="shared" si="1"/>
        <v>1.1935613765190548E-3</v>
      </c>
      <c r="F7" s="21">
        <f t="shared" si="2"/>
        <v>9</v>
      </c>
      <c r="G7" s="5">
        <f t="shared" si="3"/>
        <v>1.5817223198594021E-2</v>
      </c>
      <c r="H7" s="6">
        <f t="shared" si="4"/>
        <v>-1.0955970152163739E-2</v>
      </c>
    </row>
    <row r="8" spans="1:8" ht="14.65" thickBot="1" x14ac:dyDescent="0.5">
      <c r="A8" s="30" t="s">
        <v>14</v>
      </c>
      <c r="B8" s="18">
        <v>5</v>
      </c>
      <c r="C8" s="19">
        <f t="shared" si="0"/>
        <v>1.1450976081201161E-5</v>
      </c>
      <c r="D8" s="18">
        <v>7</v>
      </c>
      <c r="E8" s="19">
        <f t="shared" si="1"/>
        <v>1.4454895563379554E-5</v>
      </c>
      <c r="F8" s="22">
        <f t="shared" si="2"/>
        <v>2</v>
      </c>
      <c r="G8" s="7">
        <f t="shared" si="3"/>
        <v>0.39999999999999991</v>
      </c>
      <c r="H8" s="8">
        <f t="shared" si="4"/>
        <v>3.0039194821783932E-4</v>
      </c>
    </row>
    <row r="9" spans="1:8" ht="14.65" thickBot="1" x14ac:dyDescent="0.5">
      <c r="A9" s="31" t="s">
        <v>15</v>
      </c>
      <c r="B9" s="9">
        <f>SUM(B4:B8)</f>
        <v>3185</v>
      </c>
      <c r="C9" s="38">
        <f>B9/$B$3</f>
        <v>7.2942717637251402E-3</v>
      </c>
      <c r="D9" s="9">
        <f>SUM(D4:D8)</f>
        <v>2974</v>
      </c>
      <c r="E9" s="38">
        <f>D9/D3</f>
        <v>6.1412656293558278E-3</v>
      </c>
      <c r="F9" s="39">
        <f>D9-B9</f>
        <v>-211</v>
      </c>
      <c r="G9" s="38">
        <f>IF(B9=0,"-",D9/B9-1)</f>
        <v>-6.6248037676609139E-2</v>
      </c>
      <c r="H9" s="10">
        <f t="shared" si="4"/>
        <v>-0.11530061343693124</v>
      </c>
    </row>
    <row r="11" spans="1:8" ht="14.65" thickBot="1" x14ac:dyDescent="0.5">
      <c r="A11" t="s">
        <v>16</v>
      </c>
    </row>
    <row r="12" spans="1:8" ht="14.65" thickBot="1" x14ac:dyDescent="0.5">
      <c r="A12" s="25" t="s">
        <v>17</v>
      </c>
      <c r="B12" s="26" t="s">
        <v>8</v>
      </c>
      <c r="C12" s="26" t="s">
        <v>18</v>
      </c>
      <c r="D12" s="26" t="s">
        <v>19</v>
      </c>
      <c r="E12" s="26" t="s">
        <v>20</v>
      </c>
      <c r="F12" s="26" t="s">
        <v>21</v>
      </c>
      <c r="G12" s="26" t="s">
        <v>22</v>
      </c>
      <c r="H12" s="27" t="s">
        <v>23</v>
      </c>
    </row>
    <row r="13" spans="1:8" x14ac:dyDescent="0.45">
      <c r="A13" s="24" t="s">
        <v>1</v>
      </c>
      <c r="B13" s="32">
        <v>436644</v>
      </c>
      <c r="C13" s="34">
        <v>5.4964685189765573E-5</v>
      </c>
      <c r="D13" s="36">
        <v>3.9299749910682389E-3</v>
      </c>
      <c r="E13" s="34">
        <v>1.9947600333452423E-3</v>
      </c>
      <c r="F13" s="34">
        <v>1.3031210780406921E-3</v>
      </c>
      <c r="G13" s="34">
        <v>1.1450976081201161E-5</v>
      </c>
      <c r="H13" s="36">
        <v>7.2942717637251402E-3</v>
      </c>
    </row>
    <row r="14" spans="1:8" x14ac:dyDescent="0.45">
      <c r="A14" s="23" t="s">
        <v>2</v>
      </c>
      <c r="B14" s="33">
        <v>484265</v>
      </c>
      <c r="C14" s="35">
        <v>6.1949552414483812E-5</v>
      </c>
      <c r="D14" s="37">
        <v>3.5063446666597836E-3</v>
      </c>
      <c r="E14" s="35">
        <v>1.3649551381991266E-3</v>
      </c>
      <c r="F14" s="35">
        <v>1.1935613765190548E-3</v>
      </c>
      <c r="G14" s="35">
        <v>1.4454895563379554E-5</v>
      </c>
      <c r="H14" s="37">
        <v>6.1412656293558278E-3</v>
      </c>
    </row>
  </sheetData>
  <mergeCells count="4">
    <mergeCell ref="B1:C1"/>
    <mergeCell ref="D1:E1"/>
    <mergeCell ref="F1:H1"/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Мельников</dc:creator>
  <cp:lastModifiedBy>Сергей Мельников</cp:lastModifiedBy>
  <dcterms:created xsi:type="dcterms:W3CDTF">2026-09-25T05:31:39Z</dcterms:created>
  <dcterms:modified xsi:type="dcterms:W3CDTF">2026-09-25T06:15:25Z</dcterms:modified>
</cp:coreProperties>
</file>