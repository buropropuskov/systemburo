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смо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00%"/>
    <numFmt numFmtId="165" formatCode="0.0"/>
    <numFmt numFmtId="166" formatCode="+#,##0;-#,##0;0"/>
    <numFmt numFmtId="167" formatCode="+0.0%;-0.0%;0.0%"/>
    <numFmt numFmtId="168" formatCode="+0.0;-0.0;0.0"/>
    <numFmt numFmtId="169" formatCode="+0.000;-0.000;0.000"/>
    <numFmt numFmtId="170" formatCode="0.0000%"/>
    <numFmt numFmtId="171" formatCode="+0.00;-0.00;0.00"/>
    <numFmt numFmtId="172" formatCode="+0.0000;-0.0000;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0000FF"/>
    </font>
    <font>
      <name val="Arial"/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3" fontId="4" fillId="3" borderId="1" pivotButton="0" quotePrefix="0" xfId="0"/>
    <xf numFmtId="164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166" fontId="2" fillId="3" borderId="1" pivotButton="0" quotePrefix="0" xfId="0"/>
    <xf numFmtId="167" fontId="2" fillId="3" borderId="1" pivotButton="0" quotePrefix="0" xfId="0"/>
    <xf numFmtId="168" fontId="2" fillId="3" borderId="1" applyAlignment="1" pivotButton="0" quotePrefix="0" xfId="0">
      <alignment horizontal="center"/>
    </xf>
    <xf numFmtId="169" fontId="2" fillId="3" borderId="1" applyAlignment="1" pivotButton="0" quotePrefix="0" xfId="0">
      <alignment horizontal="center"/>
    </xf>
    <xf numFmtId="0" fontId="2" fillId="0" borderId="1" pivotButton="0" quotePrefix="0" xfId="0"/>
    <xf numFmtId="3" fontId="4" fillId="0" borderId="1" pivotButton="0" quotePrefix="0" xfId="0"/>
    <xf numFmtId="170" fontId="2" fillId="0" borderId="1" pivotButton="0" quotePrefix="0" xfId="0"/>
    <xf numFmtId="2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  <xf numFmtId="171" fontId="2" fillId="0" borderId="1" pivotButton="0" quotePrefix="0" xfId="0"/>
    <xf numFmtId="172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8" fontId="2" fillId="0" borderId="1" pivotButton="0" quotePrefix="0" xfId="0"/>
    <xf numFmtId="169" fontId="2" fillId="0" borderId="1" pivotButton="0" quotePrefix="0" xfId="0"/>
    <xf numFmtId="0" fontId="3" fillId="4" borderId="1" pivotButton="0" quotePrefix="0" xfId="0"/>
    <xf numFmtId="3" fontId="3" fillId="4" borderId="1" pivotButton="0" quotePrefix="0" xfId="0"/>
    <xf numFmtId="164" fontId="3" fillId="4" borderId="1" pivotButton="0" quotePrefix="0" xfId="0"/>
    <xf numFmtId="165" fontId="3" fillId="4" borderId="1" pivotButton="0" quotePrefix="0" xfId="0"/>
    <xf numFmtId="166" fontId="3" fillId="4" borderId="1" pivotButton="0" quotePrefix="0" xfId="0"/>
    <xf numFmtId="167" fontId="3" fillId="4" borderId="1" pivotButton="0" quotePrefix="0" xfId="0"/>
    <xf numFmtId="168" fontId="3" fillId="4" borderId="1" pivotButton="0" quotePrefix="0" xfId="0"/>
    <xf numFmtId="169" fontId="3" fillId="4" borderId="1" pivotButton="0" quotePrefix="0" xfId="0"/>
    <xf numFmtId="0" fontId="3" fillId="0" borderId="0" pivotButton="0" quotePrefix="0" xfId="0"/>
    <xf numFmtId="3" fontId="2" fillId="0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Посетители, попытки проноса и изъятия на 10 000 посетителей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'Досмотр'!$B$15</f>
            </strRef>
          </tx>
          <spPr>
            <a:solidFill xmlns:a="http://schemas.openxmlformats.org/drawingml/2006/main">
              <a:srgbClr val="DDEBF7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dLbls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'Досмотр'!$I$13:$I$14</f>
            </numRef>
          </cat>
          <val>
            <numRef>
              <f>'Досмотр'!$B$13:$B$14</f>
            </numRef>
          </val>
        </ser>
        <gapWidth val="60"/>
        <axId val="10"/>
        <axId val="100"/>
      </barChart>
      <lineChart>
        <grouping val="standard"/>
        <ser>
          <idx val="1"/>
          <order val="1"/>
          <tx>
            <strRef>
              <f>'Досмотр'!$H$15</f>
            </strRef>
          </tx>
          <spPr>
            <a:ln xmlns:a="http://schemas.openxmlformats.org/drawingml/2006/main" w="28575">
              <a:solidFill>
                <a:srgbClr val="000000"/>
              </a:solidFill>
              <a:prstDash val="dash"/>
            </a:ln>
          </spPr>
          <marker>
            <symbol val="circle"/>
            <size val="7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'Досмотр'!$I$13:$I$14</f>
            </numRef>
          </cat>
          <val>
            <numRef>
              <f>'Досмотр'!$H$13:$H$14</f>
            </numRef>
          </val>
          <smooth val="0"/>
        </ser>
        <ser>
          <idx val="2"/>
          <order val="2"/>
          <tx>
            <strRef>
              <f>'Досмотр'!$D$15</f>
            </strRef>
          </tx>
          <spPr>
            <a:ln xmlns:a="http://schemas.openxmlformats.org/drawingml/2006/main" w="28575">
              <a:solidFill>
                <a:srgbClr val="1F4E78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4E78"/>
              </a:solidFill>
              <a:ln xmlns:a="http://schemas.openxmlformats.org/drawingml/2006/main">
                <a:solidFill>
                  <a:srgbClr val="1F4E78"/>
                </a:solidFill>
                <a:prstDash val="solid"/>
              </a:ln>
            </spPr>
          </marker>
          <dLbls>
            <dLbl>
              <idx val="0"/>
              <dLblPos val="l"/>
              <showLegendKey val="0"/>
              <showVal val="1"/>
              <showCatName val="0"/>
              <showSerName val="0"/>
              <showPercent val="0"/>
            </dLbl>
            <dLblPos val="r"/>
            <showLegendKey val="0"/>
            <showVal val="1"/>
            <showCatName val="0"/>
            <showSerName val="0"/>
            <showPercent val="0"/>
          </dLbls>
          <cat>
            <numRef>
              <f>'Досмотр'!$I$13:$I$14</f>
            </numRef>
          </cat>
          <val>
            <numRef>
              <f>'Досмотр'!$D$13:$D$14</f>
            </numRef>
          </val>
          <smooth val="0"/>
        </ser>
        <ser>
          <idx val="3"/>
          <order val="3"/>
          <tx>
            <strRef>
              <f>'Досмотр'!$E$15</f>
            </strRef>
          </tx>
          <spPr>
            <a:ln xmlns:a="http://schemas.openxmlformats.org/drawingml/2006/main" w="28575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'Досмотр'!$I$13:$I$14</f>
            </numRef>
          </cat>
          <val>
            <numRef>
              <f>'Досмотр'!$E$13:$E$14</f>
            </numRef>
          </val>
          <smooth val="0"/>
        </ser>
        <ser>
          <idx val="4"/>
          <order val="4"/>
          <tx>
            <strRef>
              <f>'Досмотр'!$F$15</f>
            </strRef>
          </tx>
          <spPr>
            <a:ln xmlns:a="http://schemas.openxmlformats.org/drawingml/2006/main" w="28575">
              <a:solidFill>
                <a:srgbClr val="ED7D31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  <showPercent val="0"/>
          </dLbls>
          <cat>
            <numRef>
              <f>'Досмотр'!$I$13:$I$14</f>
            </numRef>
          </cat>
          <val>
            <numRef>
              <f>'Досмотр'!$F$13:$F$14</f>
            </numRef>
          </val>
          <smooth val="0"/>
        </ser>
        <ser>
          <idx val="5"/>
          <order val="5"/>
          <tx>
            <strRef>
              <f>'Досмотр'!$C$15</f>
            </strRef>
          </tx>
          <spPr>
            <a:ln xmlns:a="http://schemas.openxmlformats.org/drawingml/2006/main" w="28575">
              <a:solidFill>
                <a:srgbClr val="C00000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'Досмотр'!$I$13:$I$14</f>
            </numRef>
          </cat>
          <val>
            <numRef>
              <f>'Досмотр'!$C$13:$C$14</f>
            </numRef>
          </val>
          <smooth val="0"/>
        </ser>
        <ser>
          <idx val="6"/>
          <order val="6"/>
          <tx>
            <strRef>
              <f>'Досмотр'!$G$15</f>
            </strRef>
          </tx>
          <spPr>
            <a:ln xmlns:a="http://schemas.openxmlformats.org/drawingml/2006/main" w="28575">
              <a:solidFill>
                <a:srgbClr val="7030A0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solidFill>
                  <a:srgbClr val="7030A0"/>
                </a:solidFill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'Досмотр'!$I$13:$I$14</f>
            </numRef>
          </cat>
          <val>
            <numRef>
              <f>'Досмотр'!$G$13:$G$14</f>
            </numRef>
          </val>
          <smooth val="0"/>
        </ser>
        <ser>
          <idx val="7"/>
          <order val="7"/>
          <tx>
            <v> 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0"/>
            <showCatName val="1"/>
            <showSerName val="0"/>
            <showPercent val="0"/>
          </dLbls>
          <cat>
            <numRef>
              <f>'Досмотр'!$I$13:$I$14</f>
            </numRef>
          </cat>
          <val>
            <numRef>
              <f>'Досмотр'!$H$13:$H$14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0000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Посетители, чел.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valAx>
        <axId val="200"/>
        <scaling>
          <logBase val="10"/>
          <orientation val="minMax"/>
          <max val="100"/>
          <min val="0.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Изъятий на 10 000 посетителей (логарифмическая шкала)</a:t>
                </a:r>
              </a:p>
            </rich>
          </tx>
        </title>
        <numFmt formatCode="[&lt;1]0.0;0" sourceLinked="0"/>
        <majorTickMark val="none"/>
        <minorTickMark val="none"/>
        <crossAx val="10"/>
        <crosses val="max"/>
      </valAx>
    </plotArea>
    <legend>
      <legendPos val="b"/>
      <legendEntry>
        <idx val="7"/>
        <delete val="1"/>
      </legendEntry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97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14" customWidth="1" min="10" max="10"/>
    <col width="14" customWidth="1" min="11" max="11"/>
  </cols>
  <sheetData>
    <row r="1">
      <c r="A1" s="1" t="inlineStr">
        <is>
          <t>Показатель</t>
        </is>
      </c>
      <c r="B1" s="1" t="inlineStr">
        <is>
          <t>Июль</t>
        </is>
      </c>
      <c r="C1" s="1" t="n"/>
      <c r="D1" s="1" t="n"/>
      <c r="E1" s="1" t="inlineStr">
        <is>
          <t>Август</t>
        </is>
      </c>
      <c r="F1" s="1" t="n"/>
      <c r="G1" s="1" t="n"/>
      <c r="H1" s="1" t="inlineStr">
        <is>
          <t>Изменение (август к июлю)</t>
        </is>
      </c>
      <c r="I1" s="1" t="n"/>
      <c r="J1" s="1" t="n"/>
      <c r="K1" s="1" t="n"/>
    </row>
    <row r="2" ht="30" customHeight="1">
      <c r="A2" s="1" t="n"/>
      <c r="B2" s="1" t="inlineStr">
        <is>
          <t>Кол-во</t>
        </is>
      </c>
      <c r="C2" s="1" t="inlineStr">
        <is>
          <t>Конверсия</t>
        </is>
      </c>
      <c r="D2" s="1" t="inlineStr">
        <is>
          <t>На 10 000 посетителей</t>
        </is>
      </c>
      <c r="E2" s="1" t="inlineStr">
        <is>
          <t>Кол-во</t>
        </is>
      </c>
      <c r="F2" s="1" t="inlineStr">
        <is>
          <t>Конверсия</t>
        </is>
      </c>
      <c r="G2" s="1" t="inlineStr">
        <is>
          <t>На 10 000 посетителей</t>
        </is>
      </c>
      <c r="H2" s="1" t="inlineStr">
        <is>
          <t>Кол-во, шт</t>
        </is>
      </c>
      <c r="I2" s="1" t="inlineStr">
        <is>
          <t>Кол-во, %</t>
        </is>
      </c>
      <c r="J2" s="1" t="inlineStr">
        <is>
          <t>На 10 000</t>
        </is>
      </c>
      <c r="K2" s="1" t="inlineStr">
        <is>
          <t>Конверсия, п.п.</t>
        </is>
      </c>
    </row>
    <row r="3">
      <c r="A3" s="2" t="inlineStr">
        <is>
          <t>Посетители, чел.</t>
        </is>
      </c>
      <c r="B3" s="3" t="n">
        <v>436644</v>
      </c>
      <c r="C3" s="4" t="inlineStr">
        <is>
          <t>—</t>
        </is>
      </c>
      <c r="D3" s="5" t="inlineStr">
        <is>
          <t>—</t>
        </is>
      </c>
      <c r="E3" s="3" t="n">
        <v>484265</v>
      </c>
      <c r="F3" s="4" t="inlineStr">
        <is>
          <t>—</t>
        </is>
      </c>
      <c r="G3" s="5" t="inlineStr">
        <is>
          <t>—</t>
        </is>
      </c>
      <c r="H3" s="6">
        <f>E3-B3</f>
        <v/>
      </c>
      <c r="I3" s="7">
        <f>IF(B3=0,"-",E3/B3-1)</f>
        <v/>
      </c>
      <c r="J3" s="8" t="inlineStr">
        <is>
          <t>—</t>
        </is>
      </c>
      <c r="K3" s="9" t="inlineStr">
        <is>
          <t>—</t>
        </is>
      </c>
    </row>
    <row r="4">
      <c r="A4" s="10" t="inlineStr">
        <is>
          <t>Оружие</t>
        </is>
      </c>
      <c r="B4" s="11" t="n">
        <v>24</v>
      </c>
      <c r="C4" s="12">
        <f>B4/$B$3</f>
        <v/>
      </c>
      <c r="D4" s="13">
        <f>C4*10000</f>
        <v/>
      </c>
      <c r="E4" s="11" t="n">
        <v>30</v>
      </c>
      <c r="F4" s="12">
        <f>E4/$E$3</f>
        <v/>
      </c>
      <c r="G4" s="13">
        <f>F4*10000</f>
        <v/>
      </c>
      <c r="H4" s="14">
        <f>E4-B4</f>
        <v/>
      </c>
      <c r="I4" s="15">
        <f>IF(B4=0,"-",E4/B4-1)</f>
        <v/>
      </c>
      <c r="J4" s="16">
        <f>G4-D4</f>
        <v/>
      </c>
      <c r="K4" s="17">
        <f>(F4-C4)*100</f>
        <v/>
      </c>
    </row>
    <row r="5">
      <c r="A5" s="10" t="inlineStr">
        <is>
          <t>Колющее</t>
        </is>
      </c>
      <c r="B5" s="11" t="n">
        <v>1716</v>
      </c>
      <c r="C5" s="18">
        <f>B5/$B$3</f>
        <v/>
      </c>
      <c r="D5" s="19">
        <f>C5*10000</f>
        <v/>
      </c>
      <c r="E5" s="11" t="n">
        <v>1698</v>
      </c>
      <c r="F5" s="18">
        <f>E5/$E$3</f>
        <v/>
      </c>
      <c r="G5" s="19">
        <f>F5*10000</f>
        <v/>
      </c>
      <c r="H5" s="14">
        <f>E5-B5</f>
        <v/>
      </c>
      <c r="I5" s="15">
        <f>IF(B5=0,"-",E5/B5-1)</f>
        <v/>
      </c>
      <c r="J5" s="20">
        <f>G5-D5</f>
        <v/>
      </c>
      <c r="K5" s="21">
        <f>(F5-C5)*100</f>
        <v/>
      </c>
    </row>
    <row r="6">
      <c r="A6" s="10" t="inlineStr">
        <is>
          <t>Аэрозоль</t>
        </is>
      </c>
      <c r="B6" s="11" t="n">
        <v>871</v>
      </c>
      <c r="C6" s="18">
        <f>B6/$B$3</f>
        <v/>
      </c>
      <c r="D6" s="19">
        <f>C6*10000</f>
        <v/>
      </c>
      <c r="E6" s="11" t="n">
        <v>661</v>
      </c>
      <c r="F6" s="18">
        <f>E6/$E$3</f>
        <v/>
      </c>
      <c r="G6" s="19">
        <f>F6*10000</f>
        <v/>
      </c>
      <c r="H6" s="14">
        <f>E6-B6</f>
        <v/>
      </c>
      <c r="I6" s="15">
        <f>IF(B6=0,"-",E6/B6-1)</f>
        <v/>
      </c>
      <c r="J6" s="20">
        <f>G6-D6</f>
        <v/>
      </c>
      <c r="K6" s="21">
        <f>(F6-C6)*100</f>
        <v/>
      </c>
    </row>
    <row r="7">
      <c r="A7" s="10" t="inlineStr">
        <is>
          <t>Спирт</t>
        </is>
      </c>
      <c r="B7" s="11" t="n">
        <v>569</v>
      </c>
      <c r="C7" s="18">
        <f>B7/$B$3</f>
        <v/>
      </c>
      <c r="D7" s="19">
        <f>C7*10000</f>
        <v/>
      </c>
      <c r="E7" s="11" t="n">
        <v>578</v>
      </c>
      <c r="F7" s="18">
        <f>E7/$E$3</f>
        <v/>
      </c>
      <c r="G7" s="19">
        <f>F7*10000</f>
        <v/>
      </c>
      <c r="H7" s="14">
        <f>E7-B7</f>
        <v/>
      </c>
      <c r="I7" s="15">
        <f>IF(B7=0,"-",E7/B7-1)</f>
        <v/>
      </c>
      <c r="J7" s="20">
        <f>G7-D7</f>
        <v/>
      </c>
      <c r="K7" s="21">
        <f>(F7-C7)*100</f>
        <v/>
      </c>
    </row>
    <row r="8">
      <c r="A8" s="10" t="inlineStr">
        <is>
          <t>Пиротехника</t>
        </is>
      </c>
      <c r="B8" s="11" t="n">
        <v>5</v>
      </c>
      <c r="C8" s="12">
        <f>B8/$B$3</f>
        <v/>
      </c>
      <c r="D8" s="13">
        <f>C8*10000</f>
        <v/>
      </c>
      <c r="E8" s="11" t="n">
        <v>7</v>
      </c>
      <c r="F8" s="12">
        <f>E8/$E$3</f>
        <v/>
      </c>
      <c r="G8" s="13">
        <f>F8*10000</f>
        <v/>
      </c>
      <c r="H8" s="14">
        <f>E8-B8</f>
        <v/>
      </c>
      <c r="I8" s="15">
        <f>IF(B8=0,"-",E8/B8-1)</f>
        <v/>
      </c>
      <c r="J8" s="16">
        <f>G8-D8</f>
        <v/>
      </c>
      <c r="K8" s="17">
        <f>(F8-C8)*100</f>
        <v/>
      </c>
    </row>
    <row r="9">
      <c r="A9" s="22" t="inlineStr">
        <is>
          <t>Всего попыток проноса</t>
        </is>
      </c>
      <c r="B9" s="23">
        <f>SUM(B4:B8)</f>
        <v/>
      </c>
      <c r="C9" s="24">
        <f>B9/$B$3</f>
        <v/>
      </c>
      <c r="D9" s="25">
        <f>C9*10000</f>
        <v/>
      </c>
      <c r="E9" s="23">
        <f>SUM(E4:E8)</f>
        <v/>
      </c>
      <c r="F9" s="24">
        <f>E9/$E$3</f>
        <v/>
      </c>
      <c r="G9" s="25">
        <f>F9*10000</f>
        <v/>
      </c>
      <c r="H9" s="26">
        <f>E9-B9</f>
        <v/>
      </c>
      <c r="I9" s="27">
        <f>IF(B9=0,"-",E9/B9-1)</f>
        <v/>
      </c>
      <c r="J9" s="28">
        <f>G9-D9</f>
        <v/>
      </c>
      <c r="K9" s="29">
        <f>(F9-C9)*100</f>
        <v/>
      </c>
    </row>
    <row r="11">
      <c r="A11" s="30" t="inlineStr">
        <is>
          <t>Данные для графика: посетители и изъятий на 10 000 посетителей (ссылки на таблицу выше)</t>
        </is>
      </c>
    </row>
    <row r="12">
      <c r="A12" s="1" t="inlineStr">
        <is>
          <t>Месяц</t>
        </is>
      </c>
      <c r="B12" s="1" t="inlineStr">
        <is>
          <t>Посетители</t>
        </is>
      </c>
      <c r="C12" s="1" t="inlineStr">
        <is>
          <t>Оружие</t>
        </is>
      </c>
      <c r="D12" s="1" t="inlineStr">
        <is>
          <t>Колющее</t>
        </is>
      </c>
      <c r="E12" s="1" t="inlineStr">
        <is>
          <t>Аэрозоль</t>
        </is>
      </c>
      <c r="F12" s="1" t="inlineStr">
        <is>
          <t>Спирт</t>
        </is>
      </c>
      <c r="G12" s="1" t="inlineStr">
        <is>
          <t>Пиротехника</t>
        </is>
      </c>
      <c r="H12" s="1" t="inlineStr">
        <is>
          <t>Всего</t>
        </is>
      </c>
      <c r="I12" s="1" t="inlineStr">
        <is>
          <t>Подпись под точкой</t>
        </is>
      </c>
    </row>
    <row r="13">
      <c r="A13" s="10" t="inlineStr">
        <is>
          <t>Июль</t>
        </is>
      </c>
      <c r="B13" s="31">
        <f>B3</f>
        <v/>
      </c>
      <c r="C13" s="13">
        <f>D4</f>
        <v/>
      </c>
      <c r="D13" s="19">
        <f>D5</f>
        <v/>
      </c>
      <c r="E13" s="19">
        <f>D6</f>
        <v/>
      </c>
      <c r="F13" s="19">
        <f>D7</f>
        <v/>
      </c>
      <c r="G13" s="13">
        <f>D8</f>
        <v/>
      </c>
      <c r="H13" s="19">
        <f>D9</f>
        <v/>
      </c>
      <c r="I13" s="10">
        <f>A13&amp;", попыток: "&amp;IF(B9&gt;=1000,INT(B9/1000)&amp;" "&amp;TEXT(MOD(B9,1000),"000"),B9)</f>
        <v/>
      </c>
    </row>
    <row r="14">
      <c r="A14" s="10" t="inlineStr">
        <is>
          <t>Август</t>
        </is>
      </c>
      <c r="B14" s="31">
        <f>E3</f>
        <v/>
      </c>
      <c r="C14" s="13">
        <f>G4</f>
        <v/>
      </c>
      <c r="D14" s="19">
        <f>G5</f>
        <v/>
      </c>
      <c r="E14" s="19">
        <f>G6</f>
        <v/>
      </c>
      <c r="F14" s="19">
        <f>G7</f>
        <v/>
      </c>
      <c r="G14" s="13">
        <f>G8</f>
        <v/>
      </c>
      <c r="H14" s="19">
        <f>G9</f>
        <v/>
      </c>
      <c r="I14" s="10">
        <f>A14&amp;", попыток: "&amp;IF(E9&gt;=1000,INT(E9/1000)&amp;" "&amp;TEXT(MOD(E9,1000),"000"),E9)</f>
        <v/>
      </c>
    </row>
    <row r="15" ht="60" customHeight="1">
      <c r="B15" s="32">
        <f>"Посетители ("&amp;IF(I3&gt;0,"+","")&amp;ROUND(I3*100,1)&amp;"%"&amp;")"</f>
        <v/>
      </c>
      <c r="C15" s="32">
        <f>A4&amp;" ("&amp;B4&amp;" -&gt; "&amp;E4&amp;" шт, "&amp;IF(I4&gt;0,"+","")&amp;ROUND(I4*100,1)&amp;"%"&amp;")"</f>
        <v/>
      </c>
      <c r="D15" s="32">
        <f>A5&amp;" ("&amp;B5&amp;" -&gt; "&amp;E5&amp;" шт, "&amp;IF(I5&gt;0,"+","")&amp;ROUND(I5*100,1)&amp;"%"&amp;")"</f>
        <v/>
      </c>
      <c r="E15" s="32">
        <f>A6&amp;" ("&amp;B6&amp;" -&gt; "&amp;E6&amp;" шт, "&amp;IF(I6&gt;0,"+","")&amp;ROUND(I6*100,1)&amp;"%"&amp;")"</f>
        <v/>
      </c>
      <c r="F15" s="32">
        <f>A7&amp;" ("&amp;B7&amp;" -&gt; "&amp;E7&amp;" шт, "&amp;IF(I7&gt;0,"+","")&amp;ROUND(I7*100,1)&amp;"%"&amp;")"</f>
        <v/>
      </c>
      <c r="G15" s="32">
        <f>A8&amp;" ("&amp;B8&amp;" -&gt; "&amp;E8&amp;" шт, "&amp;IF(I8&gt;0,"+","")&amp;ROUND(I8*100,1)&amp;"%"&amp;")"</f>
        <v/>
      </c>
      <c r="H15" s="32">
        <f>"Всего попыток проноса"&amp;" ("&amp;B9&amp;" -&gt; "&amp;E9&amp;" шт, "&amp;IF(I9&gt;0,"+","")&amp;ROUND(I9*100,1)&amp;"%"&amp;")"</f>
        <v/>
      </c>
    </row>
  </sheetData>
  <mergeCells count="4">
    <mergeCell ref="H1:K1"/>
    <mergeCell ref="B1:D1"/>
    <mergeCell ref="E1:G1"/>
    <mergeCell ref="A1:A2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2026-09-24T15:03:09Z</dcterms:created>
  <dcterms:modified xmlns:dcterms="http://purl.org/dc/terms/" xmlns:xsi="http://www.w3.org/2001/XMLSchema-instance" xsi:type="dcterms:W3CDTF">2026-09-24T15:03:09Z</dcterms:modified>
</cp:coreProperties>
</file>