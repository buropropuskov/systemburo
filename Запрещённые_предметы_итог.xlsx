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<sst xmlns="http://schemas.openxmlformats.org/spreadsheetml/2006/main" count="32" uniqueCount="26">
  <si>
    <t xml:space="preserve">Показатель</t>
  </si>
  <si>
    <t xml:space="preserve">Июль</t>
  </si>
  <si>
    <t xml:space="preserve">Август</t>
  </si>
  <si>
    <t xml:space="preserve">Изменение (август к июлю)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</si>
  <si>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</si>
  <si>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</si>
  <si>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</si>
  <si>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</si>
  <si>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</si>
  <si>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</si>
  <si>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</si>
  <si>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</si>
  <si>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</si>
  <si>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</si>
  <si>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</si>
  <si>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</si>
  <si>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</si>
  <si>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Данные для графика: посетители и конверсия (ссылки на таблицу выше)</t>
  </si>
  <si>
    <t xml:space="preserve">Месяц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</si>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</sst>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[&lt;0.00005]0.000%;[&lt;0.0005]0.00%;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месяцам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Досмотр!$A$3</c:f>
              <c:strCache>
                <c:ptCount val="1"/>
                <c:pt idx="0">
                  <c:v>Посетители, чел.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9DC3E6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DC3E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Досмотр!$B$13:$B$14</c:f>
              <c:numCache>
                <c:formatCode>#,##0</c:formatCode>
                <c:ptCount val="2"/>
                <c:pt idx="0">
                  <c:v>436644</c:v>
                </c:pt>
                <c:pt idx="1">
                  <c:v>484265</c:v>
                </c:pt>
              </c:numCache>
            </c:numRef>
          </c:val>
        </c:ser>
        <c:gapWidth val="60"/>
        <c:overlap val="0"/>
        <c:axId val="60963552"/>
        <c:axId val="74677924"/>
      </c:barChart>
      <c:lineChart>
        <c:grouping val="standard"/>
        <c:varyColors val="0"/>
        <c:ser>
          <c:idx val="1"/>
          <c:order val="1"/>
          <c:tx>
            <c:strRef>
              <c:f>Досмотр!$A$9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Досмотр!$H$13:$H$14</c:f>
              <c:numCache>
                <c:formatCode>0.000%</c:formatCode>
                <c:ptCount val="2"/>
                <c:pt idx="0">
                  <c:v>0.00729427176372514</c:v>
                </c:pt>
                <c:pt idx="1">
                  <c:v>0.00614126562935583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Досмотр!$A$5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7"/>
            <c:spPr>
              <a:solidFill>
                <a:srgbClr val="1F4E78"/>
              </a:solidFill>
            </c:spPr>
          </c:marker>
          <c:dPt>
            <c:idx val="0"/>
            <c:marker>
              <c:symbol val="circle"/>
              <c:size val="7"/>
              <c:spPr>
                <a:solidFill>
                  <a:srgbClr val="1F4E78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Досмотр!$D$13:$D$14</c:f>
              <c:numCache>
                <c:formatCode>0.000%</c:formatCode>
                <c:ptCount val="2"/>
                <c:pt idx="0">
                  <c:v>0.00392997499106824</c:v>
                </c:pt>
                <c:pt idx="1">
                  <c:v>0.00350634466665978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Досмотр!$A$6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Досмотр!$E$13:$E$14</c:f>
              <c:numCache>
                <c:formatCode>0.000%</c:formatCode>
                <c:ptCount val="2"/>
                <c:pt idx="0">
                  <c:v>0.00199476003334524</c:v>
                </c:pt>
                <c:pt idx="1">
                  <c:v>0.00136495513819913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Досмотр!$A$7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Досмотр!$F$13:$F$14</c:f>
              <c:numCache>
                <c:formatCode>0.000%</c:formatCode>
                <c:ptCount val="2"/>
                <c:pt idx="0">
                  <c:v>0.00130312107804069</c:v>
                </c:pt>
                <c:pt idx="1">
                  <c:v>0.00119356137651905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Досмотр!$A$4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Досмотр!$C$13:$C$14</c:f>
              <c:numCache>
                <c:formatCode>0.0000%</c:formatCode>
                <c:ptCount val="2"/>
                <c:pt idx="0">
                  <c:v>5.49646851897656E-005</c:v>
                </c:pt>
                <c:pt idx="1">
                  <c:v>6.19495524144838E-005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Досмотр!$A$8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7"/>
            <c:spPr>
              <a:solidFill>
                <a:srgbClr val="7030A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Досмотр!$G$13:$G$14</c:f>
              <c:numCache>
                <c:formatCode>0.0000%</c:formatCode>
                <c:ptCount val="2"/>
                <c:pt idx="0">
                  <c:v>1.14509760812012E-005</c:v>
                </c:pt>
                <c:pt idx="1">
                  <c:v>1.44548955633796E-005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200164"/>
        <c:axId val="98417295"/>
      </c:lineChart>
      <c:catAx>
        <c:axId val="6096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677924"/>
        <c:crosses val="autoZero"/>
        <c:auto val="1"/>
        <c:lblAlgn val="ctr"/>
        <c:lblOffset val="100"/>
        <c:noMultiLvlLbl val="0"/>
      </c:catAx>
      <c:valAx>
        <c:axId val="74677924"/>
        <c:scaling>
          <c:orientation val="minMax"/>
          <c:max val="1000000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Посетители, чел.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63552"/>
        <c:crosses val="autoZero"/>
        <c:crossBetween val="between"/>
      </c:valAx>
      <c:catAx>
        <c:axId val="5620016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417295"/>
        <c:crosses val="autoZero"/>
        <c:auto val="1"/>
        <c:lblAlgn val="ctr"/>
        <c:lblOffset val="100"/>
        <c:noMultiLvlLbl val="0"/>
      </c:catAx>
      <c:valAx>
        <c:axId val="98417295"/>
        <c:scaling>
          <c:logBase val="10"/>
          <c:orientation val="minMax"/>
          <c:max val="0.01"/>
          <c:min val="1E-005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2001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9</xdr:col>
      <xdr:colOff>227160</xdr:colOff>
      <xdr:row>50</xdr:row>
      <xdr:rowOff>2880</xdr:rowOff>
    </xdr:to>
    <xdr:graphicFrame>
      <xdr:nvGraphicFramePr>
        <xdr:cNvPr id="1" name="Chart 1"/>
        <xdr:cNvGraphicFramePr/>
      </xdr:nvGraphicFramePr>
      <xdr:xfrm>
        <a:off x="0" y="3427200"/>
        <a:ext cx="9719640" cy="64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4"/>
  </cols>
  <sheetData>
    <row r="1" customFormat="false" ht="15" hidden="false" customHeight="true" outlineLevel="0" collapsed="false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  <c r="H1" s="1"/>
    </row>
    <row r="2" customFormat="false" ht="30" hidden="false" customHeight="true" outlineLevel="0" collapsed="false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customFormat="false" ht="15" hidden="false" customHeight="false" outlineLevel="0" collapsed="false">
      <c r="A3" s="2" t="s">
        <v>9</v>
      </c>
      <c r="B3" s="3" t="n">
        <v>436644</v>
      </c>
      <c r="C3" s="4" t="s">
        <v>10</v>
      </c>
      <c r="D3" s="3" t="n">
        <v>484265</v>
      </c>
      <c r="E3" s="4" t="s">
        <v>10</v>
      </c>
      <c r="F3" s="5" t="n">
        <f aca="false">D3-B3</f>
        <v>47621</v>
      </c>
      <c r="G3" s="6" t="n">
        <f aca="false">IF(B3=0,"-",D3/B3-1)</f>
        <v>0.109061386392576</v>
      </c>
      <c r="H3" s="7" t="s">
        <v>10</v>
      </c>
    </row>
    <row r="4" customFormat="false" ht="15" hidden="false" customHeight="false" outlineLevel="0" collapsed="false">
      <c r="A4" s="8" t="s">
        <v>11</v>
      </c>
      <c r="B4" s="9" t="n">
        <v>24</v>
      </c>
      <c r="C4" s="10" t="n">
        <f aca="false">B4/$B$3</f>
        <v>5.49646851897656E-005</v>
      </c>
      <c r="D4" s="9" t="n">
        <v>30</v>
      </c>
      <c r="E4" s="10" t="n">
        <f aca="false">D4/$D$3</f>
        <v>6.19495524144838E-005</v>
      </c>
      <c r="F4" s="11" t="n">
        <f aca="false">D4-B4</f>
        <v>6</v>
      </c>
      <c r="G4" s="12" t="n">
        <f aca="false">IF(B4=0,"-",D4/B4-1)</f>
        <v>0.25</v>
      </c>
      <c r="H4" s="13" t="n">
        <f aca="false">(E4-C4)*100</f>
        <v>0.000698486722471824</v>
      </c>
    </row>
    <row r="5" customFormat="false" ht="15" hidden="false" customHeight="false" outlineLevel="0" collapsed="false">
      <c r="A5" s="8" t="s">
        <v>12</v>
      </c>
      <c r="B5" s="9" t="n">
        <v>1716</v>
      </c>
      <c r="C5" s="14" t="n">
        <f aca="false">B5/$B$3</f>
        <v>0.00392997499106824</v>
      </c>
      <c r="D5" s="9" t="n">
        <v>1698</v>
      </c>
      <c r="E5" s="14" t="n">
        <f aca="false">D5/$D$3</f>
        <v>0.00350634466665978</v>
      </c>
      <c r="F5" s="11" t="n">
        <f aca="false">D5-B5</f>
        <v>-18</v>
      </c>
      <c r="G5" s="12" t="n">
        <f aca="false">IF(B5=0,"-",D5/B5-1)</f>
        <v>-0.0104895104895105</v>
      </c>
      <c r="H5" s="15" t="n">
        <f aca="false">(E5-C5)*100</f>
        <v>-0.0423630324408455</v>
      </c>
    </row>
    <row r="6" customFormat="false" ht="15" hidden="false" customHeight="false" outlineLevel="0" collapsed="false">
      <c r="A6" s="8" t="s">
        <v>13</v>
      </c>
      <c r="B6" s="9" t="n">
        <v>871</v>
      </c>
      <c r="C6" s="14" t="n">
        <f aca="false">B6/$B$3</f>
        <v>0.00199476003334524</v>
      </c>
      <c r="D6" s="9" t="n">
        <v>661</v>
      </c>
      <c r="E6" s="14" t="n">
        <f aca="false">D6/$D$3</f>
        <v>0.00136495513819913</v>
      </c>
      <c r="F6" s="11" t="n">
        <f aca="false">D6-B6</f>
        <v>-210</v>
      </c>
      <c r="G6" s="12" t="n">
        <f aca="false">IF(B6=0,"-",D6/B6-1)</f>
        <v>-0.241102181400689</v>
      </c>
      <c r="H6" s="15" t="n">
        <f aca="false">(E6-C6)*100</f>
        <v>-0.0629804895146116</v>
      </c>
    </row>
    <row r="7" customFormat="false" ht="15" hidden="false" customHeight="false" outlineLevel="0" collapsed="false">
      <c r="A7" s="8" t="s">
        <v>14</v>
      </c>
      <c r="B7" s="9" t="n">
        <v>569</v>
      </c>
      <c r="C7" s="14" t="n">
        <f aca="false">B7/$B$3</f>
        <v>0.00130312107804069</v>
      </c>
      <c r="D7" s="9" t="n">
        <v>578</v>
      </c>
      <c r="E7" s="14" t="n">
        <f aca="false">D7/$D$3</f>
        <v>0.00119356137651905</v>
      </c>
      <c r="F7" s="11" t="n">
        <f aca="false">D7-B7</f>
        <v>9</v>
      </c>
      <c r="G7" s="12" t="n">
        <f aca="false">IF(B7=0,"-",D7/B7-1)</f>
        <v>0.015817223198594</v>
      </c>
      <c r="H7" s="15" t="n">
        <f aca="false">(E7-C7)*100</f>
        <v>-0.0109559701521637</v>
      </c>
    </row>
    <row r="8" customFormat="false" ht="15" hidden="false" customHeight="false" outlineLevel="0" collapsed="false">
      <c r="A8" s="8" t="s">
        <v>15</v>
      </c>
      <c r="B8" s="9" t="n">
        <v>5</v>
      </c>
      <c r="C8" s="10" t="n">
        <f aca="false">B8/$B$3</f>
        <v>1.14509760812012E-005</v>
      </c>
      <c r="D8" s="9" t="n">
        <v>7</v>
      </c>
      <c r="E8" s="10" t="n">
        <f aca="false">D8/$D$3</f>
        <v>1.44548955633796E-005</v>
      </c>
      <c r="F8" s="11" t="n">
        <f aca="false">D8-B8</f>
        <v>2</v>
      </c>
      <c r="G8" s="12" t="n">
        <f aca="false">IF(B8=0,"-",D8/B8-1)</f>
        <v>0.4</v>
      </c>
      <c r="H8" s="13" t="n">
        <f aca="false">(E8-C8)*100</f>
        <v>0.000300391948217839</v>
      </c>
    </row>
    <row r="9" customFormat="false" ht="18" hidden="false" customHeight="true" outlineLevel="0" collapsed="false">
      <c r="A9" s="16" t="s">
        <v>16</v>
      </c>
      <c r="B9" s="17" t="n">
        <f aca="false">SUM(B4:B8)</f>
        <v>3185</v>
      </c>
      <c r="C9" s="18" t="n">
        <f aca="false">B9/$B$3</f>
        <v>0.00729427176372514</v>
      </c>
      <c r="D9" s="17" t="n">
        <f aca="false">SUM(D4:D8)</f>
        <v>2974</v>
      </c>
      <c r="E9" s="18" t="n">
        <f aca="false">D9/$D$3</f>
        <v>0.00614126562935583</v>
      </c>
      <c r="F9" s="19" t="n">
        <f aca="false">D9-B9</f>
        <v>-211</v>
      </c>
      <c r="G9" s="20" t="n">
        <f aca="false">IF(B9=0,"-",D9/B9-1)</f>
        <v>-0.0662480376766091</v>
      </c>
      <c r="H9" s="21" t="n">
        <f aca="false">(E9-C9)*100</f>
        <v>-0.115300613436931</v>
      </c>
    </row>
    <row r="11" customFormat="false" ht="15" hidden="false" customHeight="false" outlineLevel="0" collapsed="false">
      <c r="A11" s="22" t="s">
        <v>17</v>
      </c>
    </row>
    <row r="12" customFormat="false" ht="26.85" hidden="false" customHeight="false" outlineLevel="0" collapsed="false">
      <c r="A12" s="1" t="s">
        <v>18</v>
      </c>
      <c r="B12" s="1" t="s">
        <v>19</v>
      </c>
      <c r="C12" s="1" t="s">
        <v>20</v>
      </c>
      <c r="D12" s="1" t="s">
        <v>21</v>
      </c>
      <c r="E12" s="1" t="s">
        <v>22</v>
      </c>
      <c r="F12" s="1" t="s">
        <v>23</v>
      </c>
      <c r="G12" s="1" t="s">
        <v>24</v>
      </c>
      <c r="H12" s="1" t="s">
        <v>25</v>
      </c>
    </row>
    <row r="13" customFormat="false" ht="15" hidden="false" customHeight="false" outlineLevel="0" collapsed="false">
      <c r="A13" s="8" t="s">
        <v>1</v>
      </c>
      <c r="B13" s="23" t="n">
        <f aca="false">B3</f>
        <v>436644</v>
      </c>
      <c r="C13" s="10" t="n">
        <f aca="false">C4</f>
        <v>5.49646851897656E-005</v>
      </c>
      <c r="D13" s="14" t="n">
        <f aca="false">C5</f>
        <v>0.00392997499106824</v>
      </c>
      <c r="E13" s="14" t="n">
        <f aca="false">C6</f>
        <v>0.00199476003334524</v>
      </c>
      <c r="F13" s="14" t="n">
        <f aca="false">C7</f>
        <v>0.00130312107804069</v>
      </c>
      <c r="G13" s="10" t="n">
        <f aca="false">C8</f>
        <v>1.14509760812012E-005</v>
      </c>
      <c r="H13" s="14" t="n">
        <f aca="false">C9</f>
        <v>0.00729427176372514</v>
      </c>
    </row>
    <row r="14" customFormat="false" ht="15" hidden="false" customHeight="false" outlineLevel="0" collapsed="false">
      <c r="A14" s="8" t="s">
        <v>2</v>
      </c>
      <c r="B14" s="23" t="n">
        <f aca="false">D3</f>
        <v>484265</v>
      </c>
      <c r="C14" s="10" t="n">
        <f aca="false">E4</f>
        <v>6.19495524144838E-005</v>
      </c>
      <c r="D14" s="14" t="n">
        <f aca="false">E5</f>
        <v>0.00350634466665978</v>
      </c>
      <c r="E14" s="14" t="n">
        <f aca="false">E6</f>
        <v>0.00136495513819913</v>
      </c>
      <c r="F14" s="14" t="n">
        <f aca="false">E7</f>
        <v>0.00119356137651905</v>
      </c>
      <c r="G14" s="10" t="n">
        <f aca="false">E8</f>
        <v>1.44548955633796E-005</v>
      </c>
      <c r="H14" s="14" t="n">
        <f aca="false">E9</f>
        <v>0.00614126562935583</v>
      </c>
    </row>
  </sheetData>
  <mergeCells count="4">
    <mergeCell ref="A1:A2"/>
    <mergeCell ref="B1:C1"/>
    <mergeCell ref="D1:E1"/>
    <mergeCell ref="F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2026-09-24T15:44:59Z</dcterms:created>
  <dc:creator>openpyxl</dc:creator>
  <dc:description/>
  <dc:language>ru-RU</dc:language>
  <cp:lastModifiedBy/>
  <dcterms:modified xsi:type="dcterms:W3CDTF">2026-09-24T18:45:01Z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