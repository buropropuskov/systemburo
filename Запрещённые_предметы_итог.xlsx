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<sst xmlns="http://schemas.openxmlformats.org/spreadsheetml/2006/main" count="38" uniqueCount="28">
  <si>
    <t xml:space="preserve">Показатель</t>
  </si>
  <si>
    <t xml:space="preserve">Июль</t>
  </si>
  <si>
    <t xml:space="preserve">Август</t>
  </si>
  <si>
    <t xml:space="preserve">Изменение (август к июлю)</t>
  </si>
  <si>
    <t xml:space="preserve">Кол-во</t>
  </si>
  <si>
    <t xml:space="preserve">Конверсия</t>
  </si>
  <si>
    <t xml:space="preserve">На 10 000 посетителей</t>
  </si>
  <si>
    <t xml:space="preserve">Кол-во, шт</t>
  </si>
  <si>
    <t xml:space="preserve">Кол-во, %</t>
  </si>
  <si>
    <t xml:space="preserve">На 10 000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</si>
  <si>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</si>
  <si>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</si>
  <si>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</si>
  <si>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</si>
  <si>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</si>
  <si>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</si>
  <si>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</si>
  <si>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</si>
  <si>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попыток проноса</t>
  </si>
  <si>
    <t xml:space="preserve">Данные для графика: посетители и конверсия (ссылки на таблицу выше)</t>
  </si>
  <si>
    <t xml:space="preserve">Месяц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</si>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</sst>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.000%"/>
    <numFmt numFmtId="167" formatCode="0.0"/>
    <numFmt numFmtId="168" formatCode="\+#,##0;\-#,##0;0"/>
    <numFmt numFmtId="169" formatCode="\+0.0%;\-0.0%;0.0%"/>
    <numFmt numFmtId="170" formatCode="\+0.0;\-0.0;0.0"/>
    <numFmt numFmtId="171" formatCode="\+0.000;\-0.000;0.000"/>
    <numFmt numFmtId="172" formatCode="0.0000%"/>
    <numFmt numFmtId="173" formatCode="0.00"/>
    <numFmt numFmtId="174" formatCode="\+0.00;\-0.00;0.00"/>
    <numFmt numFmtId="175" formatCode="\+0.0000;\-0.0000;0.0000"/>
    <numFmt numFmtId="176" formatCode="[&lt;0.00005]0.000%;[&lt;0.0005]0.00%;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7030A0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месяцам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Досмотр!$A$3</c:f>
              <c:strCache>
                <c:ptCount val="1"/>
                <c:pt idx="0">
                  <c:v>Посетители, чел.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9DC3E6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DC3E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Досмотр!$B$13:$B$14</c:f>
              <c:numCache>
                <c:formatCode>#,##0</c:formatCode>
                <c:ptCount val="2"/>
                <c:pt idx="0">
                  <c:v>436644</c:v>
                </c:pt>
                <c:pt idx="1">
                  <c:v>484265</c:v>
                </c:pt>
              </c:numCache>
            </c:numRef>
          </c:val>
        </c:ser>
        <c:gapWidth val="60"/>
        <c:overlap val="0"/>
        <c:axId val="88724169"/>
        <c:axId val="72301386"/>
      </c:barChart>
      <c:lineChart>
        <c:grouping val="standard"/>
        <c:varyColors val="0"/>
        <c:ser>
          <c:idx val="1"/>
          <c:order val="1"/>
          <c:tx>
            <c:strRef>
              <c:f>Досмотр!$A$9</c:f>
              <c:strCache>
                <c:ptCount val="1"/>
                <c:pt idx="0">
                  <c:v>Всего попыток проноса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Досмотр!$H$13:$H$14</c:f>
              <c:numCache>
                <c:formatCode>0.000%</c:formatCode>
                <c:ptCount val="2"/>
                <c:pt idx="0">
                  <c:v>0.00729427176372514</c:v>
                </c:pt>
                <c:pt idx="1">
                  <c:v>0.00614126562935583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Досмотр!$A$5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7"/>
            <c:spPr>
              <a:solidFill>
                <a:srgbClr val="1F4E78"/>
              </a:solidFill>
            </c:spPr>
          </c:marker>
          <c:dPt>
            <c:idx val="0"/>
            <c:marker>
              <c:symbol val="circle"/>
              <c:size val="7"/>
              <c:spPr>
                <a:solidFill>
                  <a:srgbClr val="1F4E78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Досмотр!$D$13:$D$14</c:f>
              <c:numCache>
                <c:formatCode>0.000%</c:formatCode>
                <c:ptCount val="2"/>
                <c:pt idx="0">
                  <c:v>0.00392997499106824</c:v>
                </c:pt>
                <c:pt idx="1">
                  <c:v>0.00350634466665978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Досмотр!$A$6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Досмотр!$E$13:$E$14</c:f>
              <c:numCache>
                <c:formatCode>0.000%</c:formatCode>
                <c:ptCount val="2"/>
                <c:pt idx="0">
                  <c:v>0.00199476003334524</c:v>
                </c:pt>
                <c:pt idx="1">
                  <c:v>0.00136495513819913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Досмотр!$A$7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Досмотр!$F$13:$F$14</c:f>
              <c:numCache>
                <c:formatCode>0.000%</c:formatCode>
                <c:ptCount val="2"/>
                <c:pt idx="0">
                  <c:v>0.00130312107804069</c:v>
                </c:pt>
                <c:pt idx="1">
                  <c:v>0.00119356137651905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Досмотр!$A$4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Досмотр!$C$13:$C$14</c:f>
              <c:numCache>
                <c:formatCode>0.0000%</c:formatCode>
                <c:ptCount val="2"/>
                <c:pt idx="0">
                  <c:v>5.49646851897656E-005</c:v>
                </c:pt>
                <c:pt idx="1">
                  <c:v>6.19495524144838E-005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Досмотр!$A$8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7"/>
            <c:spPr>
              <a:solidFill>
                <a:srgbClr val="7030A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Досмотр!$G$13:$G$14</c:f>
              <c:numCache>
                <c:formatCode>0.0000%</c:formatCode>
                <c:ptCount val="2"/>
                <c:pt idx="0">
                  <c:v>1.14509760812012E-005</c:v>
                </c:pt>
                <c:pt idx="1">
                  <c:v>1.44548955633796E-005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118634"/>
        <c:axId val="76694814"/>
      </c:lineChart>
      <c:catAx>
        <c:axId val="887241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301386"/>
        <c:crosses val="autoZero"/>
        <c:auto val="1"/>
        <c:lblAlgn val="ctr"/>
        <c:lblOffset val="100"/>
        <c:noMultiLvlLbl val="0"/>
      </c:catAx>
      <c:valAx>
        <c:axId val="72301386"/>
        <c:scaling>
          <c:orientation val="minMax"/>
          <c:max val="1000000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Посетители, чел.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724169"/>
        <c:crosses val="autoZero"/>
        <c:crossBetween val="between"/>
      </c:valAx>
      <c:catAx>
        <c:axId val="7111863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694814"/>
        <c:crosses val="autoZero"/>
        <c:auto val="1"/>
        <c:lblAlgn val="ctr"/>
        <c:lblOffset val="100"/>
        <c:noMultiLvlLbl val="0"/>
      </c:catAx>
      <c:valAx>
        <c:axId val="76694814"/>
        <c:scaling>
          <c:logBase val="10"/>
          <c:orientation val="minMax"/>
          <c:max val="0.01"/>
          <c:min val="1E-005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11863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8</xdr:col>
      <xdr:colOff>838440</xdr:colOff>
      <xdr:row>50</xdr:row>
      <xdr:rowOff>2880</xdr:rowOff>
    </xdr:to>
    <xdr:graphicFrame>
      <xdr:nvGraphicFramePr>
        <xdr:cNvPr id="1" name="Chart 1"/>
        <xdr:cNvGraphicFramePr/>
      </xdr:nvGraphicFramePr>
      <xdr:xfrm>
        <a:off x="0" y="3427200"/>
        <a:ext cx="9719640" cy="64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1" min="2" style="0" width="14"/>
  </cols>
  <sheetData>
    <row r="1" customFormat="false" ht="15" hidden="false" customHeight="true" outlineLevel="0" collapsed="false">
      <c r="A1" s="1" t="s">
        <v>0</v>
      </c>
      <c r="B1" s="1" t="s">
        <v>1</v>
      </c>
      <c r="C1" s="1"/>
      <c r="D1" s="1"/>
      <c r="E1" s="1" t="s">
        <v>2</v>
      </c>
      <c r="F1" s="1"/>
      <c r="G1" s="1"/>
      <c r="H1" s="1" t="s">
        <v>3</v>
      </c>
      <c r="I1" s="1"/>
      <c r="J1" s="1"/>
      <c r="K1" s="1"/>
    </row>
    <row r="2" customFormat="false" ht="30" hidden="false" customHeight="true" outlineLevel="0" collapsed="false">
      <c r="A2" s="1"/>
      <c r="B2" s="1" t="s">
        <v>4</v>
      </c>
      <c r="C2" s="1" t="s">
        <v>5</v>
      </c>
      <c r="D2" s="1" t="s">
        <v>6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customFormat="false" ht="15" hidden="false" customHeight="false" outlineLevel="0" collapsed="false">
      <c r="A3" s="2" t="s">
        <v>11</v>
      </c>
      <c r="B3" s="3" t="n">
        <v>436644</v>
      </c>
      <c r="C3" s="4" t="s">
        <v>12</v>
      </c>
      <c r="D3" s="5" t="s">
        <v>12</v>
      </c>
      <c r="E3" s="3" t="n">
        <v>484265</v>
      </c>
      <c r="F3" s="4" t="s">
        <v>12</v>
      </c>
      <c r="G3" s="5" t="s">
        <v>12</v>
      </c>
      <c r="H3" s="6" t="n">
        <f aca="false">E3-B3</f>
        <v>47621</v>
      </c>
      <c r="I3" s="7" t="n">
        <f aca="false">IF(B3=0,"-",E3/B3-1)</f>
        <v>0.109061386392576</v>
      </c>
      <c r="J3" s="8" t="s">
        <v>12</v>
      </c>
      <c r="K3" s="9" t="s">
        <v>12</v>
      </c>
    </row>
    <row r="4" customFormat="false" ht="15" hidden="false" customHeight="false" outlineLevel="0" collapsed="false">
      <c r="A4" s="10" t="s">
        <v>13</v>
      </c>
      <c r="B4" s="11" t="n">
        <v>24</v>
      </c>
      <c r="C4" s="12" t="n">
        <f aca="false">B4/$B$3</f>
        <v>5.49646851897656E-005</v>
      </c>
      <c r="D4" s="13" t="n">
        <f aca="false">C4*10000</f>
        <v>0.549646851897656</v>
      </c>
      <c r="E4" s="11" t="n">
        <v>30</v>
      </c>
      <c r="F4" s="12" t="n">
        <f aca="false">E4/$E$3</f>
        <v>6.19495524144838E-005</v>
      </c>
      <c r="G4" s="13" t="n">
        <f aca="false">F4*10000</f>
        <v>0.619495524144838</v>
      </c>
      <c r="H4" s="14" t="n">
        <f aca="false">E4-B4</f>
        <v>6</v>
      </c>
      <c r="I4" s="15" t="n">
        <f aca="false">IF(B4=0,"-",E4/B4-1)</f>
        <v>0.25</v>
      </c>
      <c r="J4" s="16" t="n">
        <f aca="false">G4-D4</f>
        <v>0.0698486722471824</v>
      </c>
      <c r="K4" s="17" t="n">
        <f aca="false">(F4-C4)*100</f>
        <v>0.000698486722471824</v>
      </c>
    </row>
    <row r="5" customFormat="false" ht="15" hidden="false" customHeight="false" outlineLevel="0" collapsed="false">
      <c r="A5" s="10" t="s">
        <v>14</v>
      </c>
      <c r="B5" s="11" t="n">
        <v>1716</v>
      </c>
      <c r="C5" s="18" t="n">
        <f aca="false">B5/$B$3</f>
        <v>0.00392997499106824</v>
      </c>
      <c r="D5" s="19" t="n">
        <f aca="false">C5*10000</f>
        <v>39.2997499106824</v>
      </c>
      <c r="E5" s="11" t="n">
        <v>1698</v>
      </c>
      <c r="F5" s="18" t="n">
        <f aca="false">E5/$E$3</f>
        <v>0.00350634466665978</v>
      </c>
      <c r="G5" s="19" t="n">
        <f aca="false">F5*10000</f>
        <v>35.0634466665978</v>
      </c>
      <c r="H5" s="14" t="n">
        <f aca="false">E5-B5</f>
        <v>-18</v>
      </c>
      <c r="I5" s="15" t="n">
        <f aca="false">IF(B5=0,"-",E5/B5-1)</f>
        <v>-0.0104895104895105</v>
      </c>
      <c r="J5" s="20" t="n">
        <f aca="false">G5-D5</f>
        <v>-4.23630324408455</v>
      </c>
      <c r="K5" s="21" t="n">
        <f aca="false">(F5-C5)*100</f>
        <v>-0.0423630324408455</v>
      </c>
    </row>
    <row r="6" customFormat="false" ht="15" hidden="false" customHeight="false" outlineLevel="0" collapsed="false">
      <c r="A6" s="10" t="s">
        <v>15</v>
      </c>
      <c r="B6" s="11" t="n">
        <v>871</v>
      </c>
      <c r="C6" s="18" t="n">
        <f aca="false">B6/$B$3</f>
        <v>0.00199476003334524</v>
      </c>
      <c r="D6" s="19" t="n">
        <f aca="false">C6*10000</f>
        <v>19.9476003334524</v>
      </c>
      <c r="E6" s="11" t="n">
        <v>661</v>
      </c>
      <c r="F6" s="18" t="n">
        <f aca="false">E6/$E$3</f>
        <v>0.00136495513819913</v>
      </c>
      <c r="G6" s="19" t="n">
        <f aca="false">F6*10000</f>
        <v>13.6495513819913</v>
      </c>
      <c r="H6" s="14" t="n">
        <f aca="false">E6-B6</f>
        <v>-210</v>
      </c>
      <c r="I6" s="15" t="n">
        <f aca="false">IF(B6=0,"-",E6/B6-1)</f>
        <v>-0.241102181400689</v>
      </c>
      <c r="J6" s="20" t="n">
        <f aca="false">G6-D6</f>
        <v>-6.29804895146116</v>
      </c>
      <c r="K6" s="21" t="n">
        <f aca="false">(F6-C6)*100</f>
        <v>-0.0629804895146116</v>
      </c>
    </row>
    <row r="7" customFormat="false" ht="15" hidden="false" customHeight="false" outlineLevel="0" collapsed="false">
      <c r="A7" s="10" t="s">
        <v>16</v>
      </c>
      <c r="B7" s="11" t="n">
        <v>569</v>
      </c>
      <c r="C7" s="18" t="n">
        <f aca="false">B7/$B$3</f>
        <v>0.00130312107804069</v>
      </c>
      <c r="D7" s="19" t="n">
        <f aca="false">C7*10000</f>
        <v>13.0312107804069</v>
      </c>
      <c r="E7" s="11" t="n">
        <v>578</v>
      </c>
      <c r="F7" s="18" t="n">
        <f aca="false">E7/$E$3</f>
        <v>0.00119356137651905</v>
      </c>
      <c r="G7" s="19" t="n">
        <f aca="false">F7*10000</f>
        <v>11.9356137651905</v>
      </c>
      <c r="H7" s="14" t="n">
        <f aca="false">E7-B7</f>
        <v>9</v>
      </c>
      <c r="I7" s="15" t="n">
        <f aca="false">IF(B7=0,"-",E7/B7-1)</f>
        <v>0.015817223198594</v>
      </c>
      <c r="J7" s="20" t="n">
        <f aca="false">G7-D7</f>
        <v>-1.09559701521637</v>
      </c>
      <c r="K7" s="21" t="n">
        <f aca="false">(F7-C7)*100</f>
        <v>-0.0109559701521637</v>
      </c>
    </row>
    <row r="8" customFormat="false" ht="15" hidden="false" customHeight="false" outlineLevel="0" collapsed="false">
      <c r="A8" s="10" t="s">
        <v>17</v>
      </c>
      <c r="B8" s="11" t="n">
        <v>5</v>
      </c>
      <c r="C8" s="12" t="n">
        <f aca="false">B8/$B$3</f>
        <v>1.14509760812012E-005</v>
      </c>
      <c r="D8" s="13" t="n">
        <f aca="false">C8*10000</f>
        <v>0.114509760812012</v>
      </c>
      <c r="E8" s="11" t="n">
        <v>7</v>
      </c>
      <c r="F8" s="12" t="n">
        <f aca="false">E8/$E$3</f>
        <v>1.44548955633796E-005</v>
      </c>
      <c r="G8" s="13" t="n">
        <f aca="false">F8*10000</f>
        <v>0.144548955633796</v>
      </c>
      <c r="H8" s="14" t="n">
        <f aca="false">E8-B8</f>
        <v>2</v>
      </c>
      <c r="I8" s="15" t="n">
        <f aca="false">IF(B8=0,"-",E8/B8-1)</f>
        <v>0.4</v>
      </c>
      <c r="J8" s="16" t="n">
        <f aca="false">G8-D8</f>
        <v>0.0300391948217839</v>
      </c>
      <c r="K8" s="17" t="n">
        <f aca="false">(F8-C8)*100</f>
        <v>0.000300391948217839</v>
      </c>
    </row>
    <row r="9" customFormat="false" ht="18" hidden="false" customHeight="true" outlineLevel="0" collapsed="false">
      <c r="A9" s="22" t="s">
        <v>18</v>
      </c>
      <c r="B9" s="23" t="n">
        <f aca="false">SUM(B4:B8)</f>
        <v>3185</v>
      </c>
      <c r="C9" s="24" t="n">
        <f aca="false">B9/$B$3</f>
        <v>0.00729427176372514</v>
      </c>
      <c r="D9" s="25" t="n">
        <f aca="false">C9*10000</f>
        <v>72.9427176372514</v>
      </c>
      <c r="E9" s="23" t="n">
        <f aca="false">SUM(E4:E8)</f>
        <v>2974</v>
      </c>
      <c r="F9" s="24" t="n">
        <f aca="false">E9/$E$3</f>
        <v>0.00614126562935583</v>
      </c>
      <c r="G9" s="25" t="n">
        <f aca="false">F9*10000</f>
        <v>61.4126562935583</v>
      </c>
      <c r="H9" s="26" t="n">
        <f aca="false">E9-B9</f>
        <v>-211</v>
      </c>
      <c r="I9" s="27" t="n">
        <f aca="false">IF(B9=0,"-",E9/B9-1)</f>
        <v>-0.0662480376766091</v>
      </c>
      <c r="J9" s="28" t="n">
        <f aca="false">G9-D9</f>
        <v>-11.5300613436931</v>
      </c>
      <c r="K9" s="29" t="n">
        <f aca="false">(F9-C9)*100</f>
        <v>-0.115300613436931</v>
      </c>
    </row>
    <row r="11" customFormat="false" ht="15" hidden="false" customHeight="false" outlineLevel="0" collapsed="false">
      <c r="A11" s="30" t="s">
        <v>19</v>
      </c>
    </row>
    <row r="12" customFormat="false" ht="26.85" hidden="false" customHeight="false" outlineLevel="0" collapsed="false">
      <c r="A12" s="1" t="s">
        <v>20</v>
      </c>
      <c r="B12" s="1" t="s">
        <v>21</v>
      </c>
      <c r="C12" s="1" t="s">
        <v>22</v>
      </c>
      <c r="D12" s="1" t="s">
        <v>23</v>
      </c>
      <c r="E12" s="1" t="s">
        <v>24</v>
      </c>
      <c r="F12" s="1" t="s">
        <v>25</v>
      </c>
      <c r="G12" s="1" t="s">
        <v>26</v>
      </c>
      <c r="H12" s="1" t="s">
        <v>27</v>
      </c>
    </row>
    <row r="13" customFormat="false" ht="15" hidden="false" customHeight="false" outlineLevel="0" collapsed="false">
      <c r="A13" s="10" t="s">
        <v>1</v>
      </c>
      <c r="B13" s="31" t="n">
        <f aca="false">B3</f>
        <v>436644</v>
      </c>
      <c r="C13" s="12" t="n">
        <f aca="false">C4</f>
        <v>5.49646851897656E-005</v>
      </c>
      <c r="D13" s="18" t="n">
        <f aca="false">C5</f>
        <v>0.00392997499106824</v>
      </c>
      <c r="E13" s="18" t="n">
        <f aca="false">C6</f>
        <v>0.00199476003334524</v>
      </c>
      <c r="F13" s="18" t="n">
        <f aca="false">C7</f>
        <v>0.00130312107804069</v>
      </c>
      <c r="G13" s="12" t="n">
        <f aca="false">C8</f>
        <v>1.14509760812012E-005</v>
      </c>
      <c r="H13" s="18" t="n">
        <f aca="false">C9</f>
        <v>0.00729427176372514</v>
      </c>
    </row>
    <row r="14" customFormat="false" ht="15" hidden="false" customHeight="false" outlineLevel="0" collapsed="false">
      <c r="A14" s="10" t="s">
        <v>2</v>
      </c>
      <c r="B14" s="31" t="n">
        <f aca="false">E3</f>
        <v>484265</v>
      </c>
      <c r="C14" s="12" t="n">
        <f aca="false">F4</f>
        <v>6.19495524144838E-005</v>
      </c>
      <c r="D14" s="18" t="n">
        <f aca="false">F5</f>
        <v>0.00350634466665978</v>
      </c>
      <c r="E14" s="18" t="n">
        <f aca="false">F6</f>
        <v>0.00136495513819913</v>
      </c>
      <c r="F14" s="18" t="n">
        <f aca="false">F7</f>
        <v>0.00119356137651905</v>
      </c>
      <c r="G14" s="12" t="n">
        <f aca="false">F8</f>
        <v>1.44548955633796E-005</v>
      </c>
      <c r="H14" s="18" t="n">
        <f aca="false">F9</f>
        <v>0.00614126562935583</v>
      </c>
    </row>
  </sheetData>
  <mergeCells count="4">
    <mergeCell ref="A1:A2"/>
    <mergeCell ref="B1:D1"/>
    <mergeCell ref="E1:G1"/>
    <mergeCell ref="H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2026-09-24T15:14:27Z</dcterms:created>
  <dc:creator>openpyxl</dc:creator>
  <dc:description/>
  <dc:language>ru-RU</dc:language>
  <cp:lastModifiedBy/>
  <dcterms:modified xsi:type="dcterms:W3CDTF">2026-09-24T18:14:29Z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