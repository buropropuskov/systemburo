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смотр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<sst xmlns="http://schemas.openxmlformats.org/spreadsheetml/2006/main" count="29" uniqueCount="20">
  <si>
    <t xml:space="preserve">Запрещённые предметы: июль и август</t>
  </si>
  <si>
    <t xml:space="preserve">Конверсия = изъято / посетителей. Синие числа - исходные данные, остальное считается формулами.</t>
  </si>
  <si>
    <t xml:space="preserve">Показатель</t>
  </si>
  <si>
    <t xml:space="preserve">Июль</t>
  </si>
  <si>
    <t xml:space="preserve">Август</t>
  </si>
  <si>
    <t xml:space="preserve">Изменение, август к июлю</t>
  </si>
  <si>
    <t xml:space="preserve">Кол-во</t>
  </si>
  <si>
    <t xml:space="preserve">Конверсия</t>
  </si>
  <si>
    <t xml:space="preserve">Шт</t>
  </si>
  <si>
    <t xml:space="preserve">%</t>
  </si>
  <si>
    <t xml:space="preserve">Конверсия, п.п.</t>
  </si>
  <si>
    <t xml:space="preserve">Посетители</t>
  </si>
  <si>
    <t xml:space="preserve">Оружие</t>
  </si>
  <si>
    <t xml:space="preserve">Колющее</t>
  </si>
  <si>
    <t xml:space="preserve">Аэрозоль</t>
  </si>
  <si>
    <t xml:space="preserve">Спирт</t>
  </si>
  <si>
    <t xml:space="preserve">Пиротехника</t>
  </si>
  <si>
    <t xml:space="preserve">Всего</t>
  </si>
  <si>
    <t xml:space="preserve">Данные графика (ссылки на таблицу)</t>
  </si>
  <si>
    <t xml:space="preserve">Месяц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</si>
</sst>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0%"/>
    <numFmt numFmtId="167" formatCode="\+#,##0;\-#,##0;0"/>
    <numFmt numFmtId="168" formatCode="\+0.0%;\-0.0%;0.0%"/>
    <numFmt numFmtId="169" formatCode="\+0.000;\-0.000;0.000"/>
    <numFmt numFmtId="170" formatCode="0.0000%"/>
    <numFmt numFmtId="171" formatCode="\+0.0000;\-0.0000;0.0000"/>
    <numFmt numFmtId="172" formatCode="[&lt;0.00005]0.000%;[&lt;0.0005]0.00%;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9"/>
      <color rgb="FF7F7F7F"/>
      <name val="Arial"/>
      <family val="0"/>
      <charset val="1"/>
    </font>
    <font>
      <b val="true"/>
      <sz val="11"/>
      <color rgb="FF40404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262626"/>
      <name val="Arial"/>
      <family val="2"/>
    </font>
    <font>
      <sz val="8"/>
      <color rgb="FF404040"/>
      <name val="Arial"/>
      <family val="2"/>
    </font>
    <font>
      <sz val="9"/>
      <color rgb="FF262626"/>
      <name val="Arial"/>
      <family val="2"/>
    </font>
    <font>
      <sz val="9"/>
      <color rgb="FF59595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E7E7E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F7F7F"/>
      </bottom>
      <diagonal/>
    </border>
    <border diagonalUp="false" diagonalDown="false">
      <left/>
      <right/>
      <top/>
      <bottom style="thin">
        <color rgb="FFD0D0D0"/>
      </bottom>
      <diagonal/>
    </border>
    <border diagonalUp="false" diagonalDown="false">
      <left/>
      <right/>
      <top style="thin">
        <color rgb="FF7F7F7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52514E"/>
      <rgbColor rgb="FFE7E7E7"/>
      <rgbColor rgb="FFCCFFFF"/>
      <rgbColor rgb="FF660066"/>
      <rgbColor rgb="FFE87BA4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95959"/>
      <rgbColor rgb="FF969696"/>
      <rgbColor rgb="FF003366"/>
      <rgbColor rgb="FF1BAF7A"/>
      <rgbColor rgb="FF003300"/>
      <rgbColor rgb="FF404040"/>
      <rgbColor rgb="FF993300"/>
      <rgbColor rgb="FF993366"/>
      <rgbColor rgb="FF4A3AA7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200" b="1" u="none" strike="noStrike">
                <a:solidFill>
                  <a:srgbClr val="262626"/>
                </a:solidFill>
                <a:uFillTx/>
                <a:latin typeface="Arial"/>
              </a:rPr>
              <a:t>Конверсия запрещённых предметов, % от посетителей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Досмотр!H15</c:f>
              <c:strCache>
                <c:ptCount val="1"/>
                <c:pt idx="0">
                  <c:v>Всего</c:v>
                </c:pt>
              </c:strCache>
            </c:strRef>
          </c:tx>
          <c:spPr>
            <a:solidFill>
              <a:srgbClr val="52514E"/>
            </a:solidFill>
            <a:ln w="22320">
              <a:solidFill>
                <a:srgbClr val="52514E"/>
              </a:solidFill>
              <a:round/>
            </a:ln>
          </c:spPr>
          <c:marker>
            <c:symbol val="circle"/>
            <c:size val="7"/>
            <c:spPr>
              <a:solidFill>
                <a:srgbClr val="52514E"/>
              </a:solidFill>
            </c:spPr>
          </c:marker>
          <c:dLbls>
            <c:txPr>
              <a:bodyPr wrap="square"/>
              <a:lstStyle/>
              <a:p>
                <a:pPr>
                  <a:defRPr sz="800" b="0" u="none" strike="noStrik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23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
436 644 посетителей</c:v>
                </c:pt>
                <c:pt idx="1">
                  <c:v>Август
484 265 посетителей</c:v>
                </c:pt>
              </c:strCache>
            </c:strRef>
          </c:cat>
          <c:val>
            <c:numRef>
              <c:f>Досмотр!$H$16:$H$17</c:f>
              <c:numCache>
                <c:formatCode>0.000%</c:formatCode>
                <c:ptCount val="2"/>
                <c:pt idx="0">
                  <c:v>0.00729427176372514</c:v>
                </c:pt>
                <c:pt idx="1">
                  <c:v>0.00614126562935583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Досмотр!D15</c:f>
              <c:strCache>
                <c:ptCount val="1"/>
                <c:pt idx="0">
                  <c:v>Колющее</c:v>
                </c:pt>
              </c:strCache>
            </c:strRef>
          </c:tx>
          <c:spPr>
            <a:solidFill>
              <a:srgbClr val="2A78D6"/>
            </a:solidFill>
            <a:ln w="22320">
              <a:solidFill>
                <a:srgbClr val="2A78D6"/>
              </a:solidFill>
              <a:round/>
            </a:ln>
          </c:spPr>
          <c:marker>
            <c:symbol val="circle"/>
            <c:size val="7"/>
            <c:spPr>
              <a:solidFill>
                <a:srgbClr val="2A78D6"/>
              </a:solidFill>
            </c:spPr>
          </c:marker>
          <c:dLbls>
            <c:txPr>
              <a:bodyPr wrap="square"/>
              <a:lstStyle/>
              <a:p>
                <a:pPr>
                  <a:defRPr sz="800" b="0" u="none" strike="noStrik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23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
436 644 посетителей</c:v>
                </c:pt>
                <c:pt idx="1">
                  <c:v>Август
484 265 посетителей</c:v>
                </c:pt>
              </c:strCache>
            </c:strRef>
          </c:cat>
          <c:val>
            <c:numRef>
              <c:f>Досмотр!$D$16:$D$17</c:f>
              <c:numCache>
                <c:formatCode>0.000%</c:formatCode>
                <c:ptCount val="2"/>
                <c:pt idx="0">
                  <c:v>0.00392997499106824</c:v>
                </c:pt>
                <c:pt idx="1">
                  <c:v>0.00350634466665978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Досмотр!E15</c:f>
              <c:strCache>
                <c:ptCount val="1"/>
                <c:pt idx="0">
                  <c:v>Аэрозоль</c:v>
                </c:pt>
              </c:strCache>
            </c:strRef>
          </c:tx>
          <c:spPr>
            <a:solidFill>
              <a:srgbClr val="EB6834"/>
            </a:solidFill>
            <a:ln w="22320">
              <a:solidFill>
                <a:srgbClr val="EB6834"/>
              </a:solidFill>
              <a:round/>
            </a:ln>
          </c:spPr>
          <c:marker>
            <c:symbol val="circle"/>
            <c:size val="7"/>
            <c:spPr>
              <a:solidFill>
                <a:srgbClr val="EB6834"/>
              </a:solidFill>
            </c:spPr>
          </c:marker>
          <c:dLbls>
            <c:txPr>
              <a:bodyPr wrap="square"/>
              <a:lstStyle/>
              <a:p>
                <a:pPr>
                  <a:defRPr sz="800" b="0" u="none" strike="noStrik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23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
436 644 посетителей</c:v>
                </c:pt>
                <c:pt idx="1">
                  <c:v>Август
484 265 посетителей</c:v>
                </c:pt>
              </c:strCache>
            </c:strRef>
          </c:cat>
          <c:val>
            <c:numRef>
              <c:f>Досмотр!$E$16:$E$17</c:f>
              <c:numCache>
                <c:formatCode>0.000%</c:formatCode>
                <c:ptCount val="2"/>
                <c:pt idx="0">
                  <c:v>0.00199476003334524</c:v>
                </c:pt>
                <c:pt idx="1">
                  <c:v>0.00136495513819913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Досмотр!F15</c:f>
              <c:strCache>
                <c:ptCount val="1"/>
                <c:pt idx="0">
                  <c:v>Спирт</c:v>
                </c:pt>
              </c:strCache>
            </c:strRef>
          </c:tx>
          <c:spPr>
            <a:solidFill>
              <a:srgbClr val="1BAF7A"/>
            </a:solidFill>
            <a:ln w="22320">
              <a:solidFill>
                <a:srgbClr val="1BAF7A"/>
              </a:solidFill>
              <a:round/>
            </a:ln>
          </c:spPr>
          <c:marker>
            <c:symbol val="circle"/>
            <c:size val="7"/>
            <c:spPr>
              <a:solidFill>
                <a:srgbClr val="1BAF7A"/>
              </a:solidFill>
            </c:spPr>
          </c:marker>
          <c:dLbls>
            <c:txPr>
              <a:bodyPr wrap="square"/>
              <a:lstStyle/>
              <a:p>
                <a:pPr>
                  <a:defRPr sz="800" b="0" u="none" strike="noStrik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23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
436 644 посетителей</c:v>
                </c:pt>
                <c:pt idx="1">
                  <c:v>Август
484 265 посетителей</c:v>
                </c:pt>
              </c:strCache>
            </c:strRef>
          </c:cat>
          <c:val>
            <c:numRef>
              <c:f>Досмотр!$F$16:$F$17</c:f>
              <c:numCache>
                <c:formatCode>0.000%</c:formatCode>
                <c:ptCount val="2"/>
                <c:pt idx="0">
                  <c:v>0.00130312107804069</c:v>
                </c:pt>
                <c:pt idx="1">
                  <c:v>0.00119356137651905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Досмотр!C15</c:f>
              <c:strCache>
                <c:ptCount val="1"/>
                <c:pt idx="0">
                  <c:v>Оружие</c:v>
                </c:pt>
              </c:strCache>
            </c:strRef>
          </c:tx>
          <c:spPr>
            <a:solidFill>
              <a:srgbClr val="4A3AA7"/>
            </a:solidFill>
            <a:ln w="22320">
              <a:solidFill>
                <a:srgbClr val="4A3AA7"/>
              </a:solidFill>
              <a:round/>
            </a:ln>
          </c:spPr>
          <c:marker>
            <c:symbol val="circle"/>
            <c:size val="7"/>
            <c:spPr>
              <a:solidFill>
                <a:srgbClr val="4A3AA7"/>
              </a:solidFill>
            </c:spPr>
          </c:marker>
          <c:dLbls>
            <c:txPr>
              <a:bodyPr wrap="square"/>
              <a:lstStyle/>
              <a:p>
                <a:pPr>
                  <a:defRPr sz="800" b="0" u="none" strike="noStrik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23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
436 644 посетителей</c:v>
                </c:pt>
                <c:pt idx="1">
                  <c:v>Август
484 265 посетителей</c:v>
                </c:pt>
              </c:strCache>
            </c:strRef>
          </c:cat>
          <c:val>
            <c:numRef>
              <c:f>Досмотр!$C$16:$C$17</c:f>
              <c:numCache>
                <c:formatCode>0.0000%</c:formatCode>
                <c:ptCount val="2"/>
                <c:pt idx="0">
                  <c:v>5.49646851897656E-005</c:v>
                </c:pt>
                <c:pt idx="1">
                  <c:v>6.19495524144838E-005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Досмотр!G15</c:f>
              <c:strCache>
                <c:ptCount val="1"/>
                <c:pt idx="0">
                  <c:v>Пиротехника</c:v>
                </c:pt>
              </c:strCache>
            </c:strRef>
          </c:tx>
          <c:spPr>
            <a:solidFill>
              <a:srgbClr val="E87BA4"/>
            </a:solidFill>
            <a:ln w="22320">
              <a:solidFill>
                <a:srgbClr val="E87BA4"/>
              </a:solidFill>
              <a:round/>
            </a:ln>
          </c:spPr>
          <c:marker>
            <c:symbol val="circle"/>
            <c:size val="7"/>
            <c:spPr>
              <a:solidFill>
                <a:srgbClr val="E87BA4"/>
              </a:solidFill>
            </c:spPr>
          </c:marker>
          <c:dLbls>
            <c:txPr>
              <a:bodyPr wrap="square"/>
              <a:lstStyle/>
              <a:p>
                <a:pPr>
                  <a:defRPr sz="800" b="0" u="none" strike="noStrike">
                    <a:solidFill>
                      <a:srgbClr val="404040"/>
                    </a:solidFill>
                    <a:uFillTx/>
                    <a:latin typeface="Arial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23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
436 644 посетителей</c:v>
                </c:pt>
                <c:pt idx="1">
                  <c:v>Август
484 265 посетителей</c:v>
                </c:pt>
              </c:strCache>
            </c:strRef>
          </c:cat>
          <c:val>
            <c:numRef>
              <c:f>Досмотр!$G$16:$G$17</c:f>
              <c:numCache>
                <c:formatCode>0.0000%</c:formatCode>
                <c:ptCount val="2"/>
                <c:pt idx="0">
                  <c:v>1.14509760812012E-005</c:v>
                </c:pt>
                <c:pt idx="1">
                  <c:v>1.44548955633796E-005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44806"/>
        <c:axId val="73673485"/>
      </c:lineChart>
      <c:catAx>
        <c:axId val="61448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262626"/>
                </a:solidFill>
                <a:uFillTx/>
                <a:latin typeface="Arial"/>
              </a:defRPr>
            </a:pPr>
          </a:p>
        </c:txPr>
        <c:crossAx val="73673485"/>
        <c:crosses val="autoZero"/>
        <c:auto val="1"/>
        <c:lblAlgn val="ctr"/>
        <c:lblOffset val="100"/>
        <c:noMultiLvlLbl val="0"/>
      </c:catAx>
      <c:valAx>
        <c:axId val="73673485"/>
        <c:scaling>
          <c:logBase val="10"/>
          <c:orientation val="minMax"/>
          <c:max val="0.01"/>
          <c:min val="1E-005"/>
        </c:scaling>
        <c:delete val="0"/>
        <c:axPos val="l"/>
        <c:majorGridlines>
          <c:spPr>
            <a:ln w="9360">
              <a:solidFill>
                <a:srgbClr val="E7E7E7"/>
              </a:solidFill>
              <a:round/>
            </a:ln>
          </c:spPr>
        </c:majorGridlines>
        <c:numFmt formatCode="[&lt;0.00005]0.000%;[&lt;0.0005]0.00%;0.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rial"/>
              </a:defRPr>
            </a:pPr>
          </a:p>
        </c:txPr>
        <c:crossAx val="61448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0</xdr:rowOff>
    </xdr:from>
    <xdr:to>
      <xdr:col>7</xdr:col>
      <xdr:colOff>448200</xdr:colOff>
      <xdr:row>49</xdr:row>
      <xdr:rowOff>44640</xdr:rowOff>
    </xdr:to>
    <xdr:graphicFrame>
      <xdr:nvGraphicFramePr>
        <xdr:cNvPr id="1" name="Chart 1"/>
        <xdr:cNvGraphicFramePr/>
      </xdr:nvGraphicFramePr>
      <xdr:xfrm>
        <a:off x="0" y="4125600"/>
        <a:ext cx="791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  <c r="B4" s="4" t="s">
        <v>3</v>
      </c>
      <c r="C4" s="4"/>
      <c r="D4" s="4" t="s">
        <v>4</v>
      </c>
      <c r="E4" s="4"/>
      <c r="F4" s="4" t="s">
        <v>5</v>
      </c>
      <c r="G4" s="4"/>
      <c r="H4" s="4"/>
    </row>
    <row r="5" customFormat="false" ht="30" hidden="false" customHeight="true" outlineLevel="0" collapsed="false">
      <c r="A5" s="3"/>
      <c r="B5" s="3" t="s">
        <v>6</v>
      </c>
      <c r="C5" s="3" t="s">
        <v>7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</row>
    <row r="6" customFormat="false" ht="15" hidden="false" customHeight="false" outlineLevel="0" collapsed="false">
      <c r="A6" s="5" t="s">
        <v>11</v>
      </c>
      <c r="B6" s="6" t="n">
        <v>436644</v>
      </c>
      <c r="C6" s="7"/>
      <c r="D6" s="6" t="n">
        <v>484265</v>
      </c>
      <c r="E6" s="7"/>
      <c r="F6" s="8" t="n">
        <f aca="false">D6-B6</f>
        <v>47621</v>
      </c>
      <c r="G6" s="9" t="n">
        <f aca="false">IF(B6=0,"-",D6/B6-1)</f>
        <v>0.109061386392576</v>
      </c>
      <c r="H6" s="10"/>
    </row>
    <row r="7" customFormat="false" ht="15" hidden="false" customHeight="false" outlineLevel="0" collapsed="false">
      <c r="A7" s="11" t="s">
        <v>12</v>
      </c>
      <c r="B7" s="6" t="n">
        <v>24</v>
      </c>
      <c r="C7" s="12" t="n">
        <f aca="false">B7/$B$6</f>
        <v>5.49646851897656E-005</v>
      </c>
      <c r="D7" s="6" t="n">
        <v>30</v>
      </c>
      <c r="E7" s="12" t="n">
        <f aca="false">D7/$D$6</f>
        <v>6.19495524144838E-005</v>
      </c>
      <c r="F7" s="8" t="n">
        <f aca="false">D7-B7</f>
        <v>6</v>
      </c>
      <c r="G7" s="9" t="n">
        <f aca="false">IF(B7=0,"-",D7/B7-1)</f>
        <v>0.25</v>
      </c>
      <c r="H7" s="13" t="n">
        <f aca="false">(E7-C7)*100</f>
        <v>0.000698486722471824</v>
      </c>
    </row>
    <row r="8" customFormat="false" ht="15" hidden="false" customHeight="false" outlineLevel="0" collapsed="false">
      <c r="A8" s="11" t="s">
        <v>13</v>
      </c>
      <c r="B8" s="6" t="n">
        <v>1716</v>
      </c>
      <c r="C8" s="7" t="n">
        <f aca="false">B8/$B$6</f>
        <v>0.00392997499106824</v>
      </c>
      <c r="D8" s="6" t="n">
        <v>1698</v>
      </c>
      <c r="E8" s="7" t="n">
        <f aca="false">D8/$D$6</f>
        <v>0.00350634466665978</v>
      </c>
      <c r="F8" s="8" t="n">
        <f aca="false">D8-B8</f>
        <v>-18</v>
      </c>
      <c r="G8" s="9" t="n">
        <f aca="false">IF(B8=0,"-",D8/B8-1)</f>
        <v>-0.0104895104895105</v>
      </c>
      <c r="H8" s="10" t="n">
        <f aca="false">(E8-C8)*100</f>
        <v>-0.0423630324408455</v>
      </c>
    </row>
    <row r="9" customFormat="false" ht="15" hidden="false" customHeight="false" outlineLevel="0" collapsed="false">
      <c r="A9" s="11" t="s">
        <v>14</v>
      </c>
      <c r="B9" s="6" t="n">
        <v>871</v>
      </c>
      <c r="C9" s="7" t="n">
        <f aca="false">B9/$B$6</f>
        <v>0.00199476003334524</v>
      </c>
      <c r="D9" s="6" t="n">
        <v>661</v>
      </c>
      <c r="E9" s="7" t="n">
        <f aca="false">D9/$D$6</f>
        <v>0.00136495513819913</v>
      </c>
      <c r="F9" s="8" t="n">
        <f aca="false">D9-B9</f>
        <v>-210</v>
      </c>
      <c r="G9" s="9" t="n">
        <f aca="false">IF(B9=0,"-",D9/B9-1)</f>
        <v>-0.241102181400689</v>
      </c>
      <c r="H9" s="10" t="n">
        <f aca="false">(E9-C9)*100</f>
        <v>-0.0629804895146116</v>
      </c>
    </row>
    <row r="10" customFormat="false" ht="15" hidden="false" customHeight="false" outlineLevel="0" collapsed="false">
      <c r="A10" s="11" t="s">
        <v>15</v>
      </c>
      <c r="B10" s="6" t="n">
        <v>569</v>
      </c>
      <c r="C10" s="7" t="n">
        <f aca="false">B10/$B$6</f>
        <v>0.00130312107804069</v>
      </c>
      <c r="D10" s="6" t="n">
        <v>578</v>
      </c>
      <c r="E10" s="7" t="n">
        <f aca="false">D10/$D$6</f>
        <v>0.00119356137651905</v>
      </c>
      <c r="F10" s="8" t="n">
        <f aca="false">D10-B10</f>
        <v>9</v>
      </c>
      <c r="G10" s="9" t="n">
        <f aca="false">IF(B10=0,"-",D10/B10-1)</f>
        <v>0.015817223198594</v>
      </c>
      <c r="H10" s="10" t="n">
        <f aca="false">(E10-C10)*100</f>
        <v>-0.0109559701521637</v>
      </c>
    </row>
    <row r="11" customFormat="false" ht="15" hidden="false" customHeight="false" outlineLevel="0" collapsed="false">
      <c r="A11" s="11" t="s">
        <v>16</v>
      </c>
      <c r="B11" s="6" t="n">
        <v>5</v>
      </c>
      <c r="C11" s="12" t="n">
        <f aca="false">B11/$B$6</f>
        <v>1.14509760812012E-005</v>
      </c>
      <c r="D11" s="6" t="n">
        <v>7</v>
      </c>
      <c r="E11" s="12" t="n">
        <f aca="false">D11/$D$6</f>
        <v>1.44548955633796E-005</v>
      </c>
      <c r="F11" s="8" t="n">
        <f aca="false">D11-B11</f>
        <v>2</v>
      </c>
      <c r="G11" s="9" t="n">
        <f aca="false">IF(B11=0,"-",D11/B11-1)</f>
        <v>0.4</v>
      </c>
      <c r="H11" s="13" t="n">
        <f aca="false">(E11-C11)*100</f>
        <v>0.000300391948217839</v>
      </c>
    </row>
    <row r="12" customFormat="false" ht="15" hidden="false" customHeight="false" outlineLevel="0" collapsed="false">
      <c r="A12" s="14" t="s">
        <v>17</v>
      </c>
      <c r="B12" s="15" t="n">
        <f aca="false">SUM(B7:B11)</f>
        <v>3185</v>
      </c>
      <c r="C12" s="16" t="n">
        <f aca="false">B12/$B$6</f>
        <v>0.00729427176372514</v>
      </c>
      <c r="D12" s="15" t="n">
        <f aca="false">SUM(D7:D11)</f>
        <v>2974</v>
      </c>
      <c r="E12" s="16" t="n">
        <f aca="false">D12/$D$6</f>
        <v>0.00614126562935583</v>
      </c>
      <c r="F12" s="17" t="n">
        <f aca="false">D12-B12</f>
        <v>-211</v>
      </c>
      <c r="G12" s="18" t="n">
        <f aca="false">IF(B12=0,"-",D12/B12-1)</f>
        <v>-0.0662480376766091</v>
      </c>
      <c r="H12" s="19" t="n">
        <f aca="false">(E12-C12)*100</f>
        <v>-0.115300613436931</v>
      </c>
    </row>
    <row r="14" customFormat="false" ht="15" hidden="false" customHeight="false" outlineLevel="0" collapsed="false">
      <c r="A14" s="2" t="s">
        <v>18</v>
      </c>
    </row>
    <row r="15" customFormat="false" ht="15" hidden="false" customHeight="false" outlineLevel="0" collapsed="false">
      <c r="A15" s="3" t="s">
        <v>19</v>
      </c>
      <c r="B15" s="3" t="s">
        <v>11</v>
      </c>
      <c r="C15" s="3" t="s">
        <v>12</v>
      </c>
      <c r="D15" s="3" t="s">
        <v>13</v>
      </c>
      <c r="E15" s="3" t="s">
        <v>14</v>
      </c>
      <c r="F15" s="3" t="s">
        <v>15</v>
      </c>
      <c r="G15" s="3" t="s">
        <v>16</v>
      </c>
      <c r="H15" s="3" t="s">
        <v>17</v>
      </c>
    </row>
    <row r="16" customFormat="false" ht="26.85" hidden="false" customHeight="false" outlineLevel="0" collapsed="false">
      <c r="A16" s="20" t="str">
        <f aca="false">"Июль"&amp;CHAR(10)&amp;INT(B6/1000)&amp;" "&amp;TEXT(MOD(B6,1000),"000")&amp;" посетителей"</f>
        <v>Июль
436 644 посетителей</v>
      </c>
      <c r="B16" s="21" t="n">
        <f aca="false">B6</f>
        <v>436644</v>
      </c>
      <c r="C16" s="12" t="n">
        <f aca="false">C7</f>
        <v>5.49646851897656E-005</v>
      </c>
      <c r="D16" s="7" t="n">
        <f aca="false">C8</f>
        <v>0.00392997499106824</v>
      </c>
      <c r="E16" s="7" t="n">
        <f aca="false">C9</f>
        <v>0.00199476003334524</v>
      </c>
      <c r="F16" s="7" t="n">
        <f aca="false">C10</f>
        <v>0.00130312107804069</v>
      </c>
      <c r="G16" s="12" t="n">
        <f aca="false">C11</f>
        <v>1.14509760812012E-005</v>
      </c>
      <c r="H16" s="7" t="n">
        <f aca="false">C12</f>
        <v>0.00729427176372514</v>
      </c>
    </row>
    <row r="17" customFormat="false" ht="26.85" hidden="false" customHeight="false" outlineLevel="0" collapsed="false">
      <c r="A17" s="20" t="str">
        <f aca="false">"Август"&amp;CHAR(10)&amp;INT(D6/1000)&amp;" "&amp;TEXT(MOD(D6,1000),"000")&amp;" посетителей"</f>
        <v>Август
484 265 посетителей</v>
      </c>
      <c r="B17" s="21" t="n">
        <f aca="false">D6</f>
        <v>484265</v>
      </c>
      <c r="C17" s="12" t="n">
        <f aca="false">E7</f>
        <v>6.19495524144838E-005</v>
      </c>
      <c r="D17" s="7" t="n">
        <f aca="false">E8</f>
        <v>0.00350634466665978</v>
      </c>
      <c r="E17" s="7" t="n">
        <f aca="false">E9</f>
        <v>0.00136495513819913</v>
      </c>
      <c r="F17" s="7" t="n">
        <f aca="false">E10</f>
        <v>0.00119356137651905</v>
      </c>
      <c r="G17" s="12" t="n">
        <f aca="false">E11</f>
        <v>1.44548955633796E-005</v>
      </c>
      <c r="H17" s="7" t="n">
        <f aca="false">E12</f>
        <v>0.00614126562935583</v>
      </c>
    </row>
  </sheetData>
  <mergeCells count="4">
    <mergeCell ref="A4:A5"/>
    <mergeCell ref="B4:C4"/>
    <mergeCell ref="D4:E4"/>
    <mergeCell ref="F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2026-09-24T14:33:20Z</dcterms:created>
  <dc:creator>openpyxl</dc:creator>
  <dc:description/>
  <dc:language>ru-RU</dc:language>
  <cp:lastModifiedBy/>
  <dcterms:modified xsi:type="dcterms:W3CDTF">2026-09-24T17:33:23Z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