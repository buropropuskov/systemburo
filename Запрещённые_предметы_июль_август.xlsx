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A6" authorId="0">
      <text>
        <r>
          <rPr>
            <sz val="10"/>
            <rFont val="Arial"/>
            <family val="2"/>
          </rPr>
          <t xml:space="preserve">Данные предоставлены пользователем.</t>
        </r>
      </text>
    </comment>
    <comment ref="H5" authorId="0">
      <text>
        <r>
          <rPr>
            <sz val="10"/>
            <rFont val="Arial"/>
            <family val="2"/>
          </rPr>
          <t xml:space="preserve">Разница конверсий в процентных пунктах: 0.010 п.п. = на 1 изъятие больше на каждые 10 000 посетителей.</t>
        </r>
      </text>
    </comment>
  </commentList>
</comments>
</file>

<file path=xl/sharedStrings.xml><?xml version="1.0" encoding="utf-8"?>
<sst xmlns="http://schemas.openxmlformats.org/spreadsheetml/2006/main" count="34" uniqueCount="28">
  <si>
    <t xml:space="preserve">Запрещённые предметы на входе: июль и август</t>
  </si>
  <si>
    <t xml:space="preserve">Конверсия = число изъятий / число посетителей за месяц. Синие числа - исходные данные, чёрные - формулы.</t>
  </si>
  <si>
    <t xml:space="preserve">Показатель</t>
  </si>
  <si>
    <t xml:space="preserve">Июль</t>
  </si>
  <si>
    <t xml:space="preserve">Август</t>
  </si>
  <si>
    <t xml:space="preserve">Изменение (август к июлю)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</si>
  <si>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</si>
  <si>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</si>
  <si>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</si>
  <si>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</si>
  <si>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</si>
  <si>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</si>
  <si>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</si>
  <si>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</si>
  <si>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</si>
  <si>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</si>
  <si>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</si>
  <si>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</si>
  <si>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запрещённых</t>
  </si>
  <si>
    <t xml:space="preserve">Данные для графика (ссылки на таблицу выше)</t>
  </si>
  <si>
    <t xml:space="preserve">Месяц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</si>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</sst>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-#,##0;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7030A0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конверсия: колющее, аэрозоль, спирт, всего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Досмотр!B15</c:f>
              <c:strCache>
                <c:ptCount val="1"/>
                <c:pt idx="0">
                  <c:v>Посетители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9DC3E6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DC3E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Досмотр!$B$16:$B$17</c:f>
              <c:numCache>
                <c:formatCode>#,##0</c:formatCode>
                <c:ptCount val="2"/>
                <c:pt idx="0">
                  <c:v>436644</c:v>
                </c:pt>
                <c:pt idx="1">
                  <c:v>484265</c:v>
                </c:pt>
              </c:numCache>
            </c:numRef>
          </c:val>
        </c:ser>
        <c:gapWidth val="60"/>
        <c:overlap val="0"/>
        <c:axId val="57571766"/>
        <c:axId val="80795091"/>
      </c:barChart>
      <c:lineChart>
        <c:grouping val="standard"/>
        <c:varyColors val="0"/>
        <c:ser>
          <c:idx val="1"/>
          <c:order val="1"/>
          <c:tx>
            <c:strRef>
              <c:f>Досмотр!D15</c:f>
              <c:strCache>
                <c:ptCount val="1"/>
                <c:pt idx="0">
                  <c:v>Конв. 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7"/>
            <c:spPr>
              <a:solidFill>
                <a:srgbClr val="1F4E78"/>
              </a:solidFill>
            </c:spPr>
          </c:marker>
          <c:dLbls>
            <c:numFmt formatCode="0.00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Досмотр!$D$16:$D$17</c:f>
              <c:numCache>
                <c:formatCode>0.000%</c:formatCode>
                <c:ptCount val="2"/>
                <c:pt idx="0">
                  <c:v>0.00392997499106824</c:v>
                </c:pt>
                <c:pt idx="1">
                  <c:v>0.00350634466665978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Досмотр!E15</c:f>
              <c:strCache>
                <c:ptCount val="1"/>
                <c:pt idx="0">
                  <c:v>Конв. 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numFmt formatCode="0.00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Досмотр!$E$16:$E$17</c:f>
              <c:numCache>
                <c:formatCode>0.000%</c:formatCode>
                <c:ptCount val="2"/>
                <c:pt idx="0">
                  <c:v>0.00199476003334524</c:v>
                </c:pt>
                <c:pt idx="1">
                  <c:v>0.00136495513819913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Досмотр!F15</c:f>
              <c:strCache>
                <c:ptCount val="1"/>
                <c:pt idx="0">
                  <c:v>Конв. 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numFmt formatCode="0.00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Досмотр!$F$16:$F$17</c:f>
              <c:numCache>
                <c:formatCode>0.000%</c:formatCode>
                <c:ptCount val="2"/>
                <c:pt idx="0">
                  <c:v>0.00130312107804069</c:v>
                </c:pt>
                <c:pt idx="1">
                  <c:v>0.00119356137651905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Досмотр!H15</c:f>
              <c:strCache>
                <c:ptCount val="1"/>
                <c:pt idx="0">
                  <c:v>Конв. всего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numFmt formatCode="0.00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Досмотр!$H$16:$H$17</c:f>
              <c:numCache>
                <c:formatCode>0.000%</c:formatCode>
                <c:ptCount val="2"/>
                <c:pt idx="0">
                  <c:v>0.00729427176372514</c:v>
                </c:pt>
                <c:pt idx="1">
                  <c:v>0.00614126562935583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59882962"/>
        <c:axId val="41324428"/>
      </c:lineChart>
      <c:catAx>
        <c:axId val="575717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795091"/>
        <c:crosses val="autoZero"/>
        <c:auto val="1"/>
        <c:lblAlgn val="ctr"/>
        <c:lblOffset val="100"/>
        <c:noMultiLvlLbl val="0"/>
      </c:catAx>
      <c:valAx>
        <c:axId val="80795091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Посетители, чел.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571766"/>
        <c:crosses val="autoZero"/>
        <c:crossBetween val="between"/>
      </c:valAx>
      <c:catAx>
        <c:axId val="5988296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324428"/>
        <c:crosses val="autoZero"/>
        <c:auto val="1"/>
        <c:lblAlgn val="ctr"/>
        <c:lblOffset val="100"/>
        <c:noMultiLvlLbl val="0"/>
      </c:catAx>
      <c:valAx>
        <c:axId val="41324428"/>
        <c:scaling>
          <c:orientation val="minMax"/>
          <c:max val="0.008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88296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конверсия: оружие, пиротехника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Досмотр!B15</c:f>
              <c:strCache>
                <c:ptCount val="1"/>
                <c:pt idx="0">
                  <c:v>Посетители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9DC3E6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DC3E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Досмотр!$B$16:$B$17</c:f>
              <c:numCache>
                <c:formatCode>#,##0</c:formatCode>
                <c:ptCount val="2"/>
                <c:pt idx="0">
                  <c:v>436644</c:v>
                </c:pt>
                <c:pt idx="1">
                  <c:v>484265</c:v>
                </c:pt>
              </c:numCache>
            </c:numRef>
          </c:val>
        </c:ser>
        <c:gapWidth val="60"/>
        <c:overlap val="0"/>
        <c:axId val="26938936"/>
        <c:axId val="89642851"/>
      </c:barChart>
      <c:lineChart>
        <c:grouping val="standard"/>
        <c:varyColors val="0"/>
        <c:ser>
          <c:idx val="1"/>
          <c:order val="1"/>
          <c:tx>
            <c:strRef>
              <c:f>Досмотр!C15</c:f>
              <c:strCache>
                <c:ptCount val="1"/>
                <c:pt idx="0">
                  <c:v>Конв. 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numFmt formatCode="0.000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Досмотр!$C$16:$C$17</c:f>
              <c:numCache>
                <c:formatCode>0.0000%</c:formatCode>
                <c:ptCount val="2"/>
                <c:pt idx="0">
                  <c:v>5.49646851897656E-005</c:v>
                </c:pt>
                <c:pt idx="1">
                  <c:v>6.19495524144838E-005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Досмотр!G15</c:f>
              <c:strCache>
                <c:ptCount val="1"/>
                <c:pt idx="0">
                  <c:v>Конв. 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7"/>
            <c:spPr>
              <a:solidFill>
                <a:srgbClr val="7030A0"/>
              </a:solidFill>
            </c:spPr>
          </c:marker>
          <c:dLbls>
            <c:numFmt formatCode="0.000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Досмотр!$A$16:$A$17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Досмотр!$G$16:$G$17</c:f>
              <c:numCache>
                <c:formatCode>0.0000%</c:formatCode>
                <c:ptCount val="2"/>
                <c:pt idx="0">
                  <c:v>1.14509760812012E-005</c:v>
                </c:pt>
                <c:pt idx="1">
                  <c:v>1.44548955633796E-005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36230256"/>
        <c:axId val="5814329"/>
      </c:lineChart>
      <c:catAx>
        <c:axId val="26938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642851"/>
        <c:crosses val="autoZero"/>
        <c:auto val="1"/>
        <c:lblAlgn val="ctr"/>
        <c:lblOffset val="100"/>
        <c:noMultiLvlLbl val="0"/>
      </c:catAx>
      <c:valAx>
        <c:axId val="89642851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Посетители, чел.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938936"/>
        <c:crosses val="autoZero"/>
        <c:crossBetween val="between"/>
      </c:valAx>
      <c:catAx>
        <c:axId val="3623025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14329"/>
        <c:crosses val="autoZero"/>
        <c:auto val="1"/>
        <c:lblAlgn val="ctr"/>
        <c:lblOffset val="100"/>
        <c:noMultiLvlLbl val="0"/>
      </c:catAx>
      <c:valAx>
        <c:axId val="5814329"/>
        <c:scaling>
          <c:orientation val="minMax"/>
          <c:max val="8E-005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23025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7</xdr:col>
      <xdr:colOff>745200</xdr:colOff>
      <xdr:row>43</xdr:row>
      <xdr:rowOff>107640</xdr:rowOff>
    </xdr:to>
    <xdr:graphicFrame>
      <xdr:nvGraphicFramePr>
        <xdr:cNvPr id="1" name="Chart 1"/>
        <xdr:cNvGraphicFramePr/>
      </xdr:nvGraphicFramePr>
      <xdr:xfrm>
        <a:off x="0" y="399024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46</xdr:row>
      <xdr:rowOff>0</xdr:rowOff>
    </xdr:from>
    <xdr:to>
      <xdr:col>7</xdr:col>
      <xdr:colOff>745200</xdr:colOff>
      <xdr:row>70</xdr:row>
      <xdr:rowOff>107640</xdr:rowOff>
    </xdr:to>
    <xdr:graphicFrame>
      <xdr:nvGraphicFramePr>
        <xdr:cNvPr id="2" name="Chart 2"/>
        <xdr:cNvGraphicFramePr/>
      </xdr:nvGraphicFramePr>
      <xdr:xfrm>
        <a:off x="0" y="913392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3" t="s">
        <v>3</v>
      </c>
      <c r="C4" s="3"/>
      <c r="D4" s="3" t="s">
        <v>4</v>
      </c>
      <c r="E4" s="3"/>
      <c r="F4" s="3" t="s">
        <v>5</v>
      </c>
      <c r="G4" s="3"/>
      <c r="H4" s="3"/>
    </row>
    <row r="5" customFormat="false" ht="30" hidden="false" customHeight="true" outlineLevel="0" collapsed="false">
      <c r="A5" s="3"/>
      <c r="B5" s="3" t="s">
        <v>6</v>
      </c>
      <c r="C5" s="3" t="s">
        <v>7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customFormat="false" ht="15" hidden="false" customHeight="false" outlineLevel="0" collapsed="false">
      <c r="A6" s="4" t="s">
        <v>11</v>
      </c>
      <c r="B6" s="5" t="n">
        <v>436644</v>
      </c>
      <c r="C6" s="6" t="s">
        <v>12</v>
      </c>
      <c r="D6" s="5" t="n">
        <v>484265</v>
      </c>
      <c r="E6" s="6" t="s">
        <v>12</v>
      </c>
      <c r="F6" s="7" t="n">
        <f aca="false">D6-B6</f>
        <v>47621</v>
      </c>
      <c r="G6" s="8" t="n">
        <f aca="false">IF(B6=0,"-",D6/B6-1)</f>
        <v>0.109061386392576</v>
      </c>
      <c r="H6" s="9" t="s">
        <v>12</v>
      </c>
    </row>
    <row r="7" customFormat="false" ht="15" hidden="false" customHeight="false" outlineLevel="0" collapsed="false">
      <c r="A7" s="10" t="s">
        <v>13</v>
      </c>
      <c r="B7" s="11" t="n">
        <v>24</v>
      </c>
      <c r="C7" s="12" t="n">
        <f aca="false">B7/$B$6</f>
        <v>5.49646851897656E-005</v>
      </c>
      <c r="D7" s="11" t="n">
        <v>30</v>
      </c>
      <c r="E7" s="12" t="n">
        <f aca="false">D7/$D$6</f>
        <v>6.19495524144838E-005</v>
      </c>
      <c r="F7" s="13" t="n">
        <f aca="false">D7-B7</f>
        <v>6</v>
      </c>
      <c r="G7" s="14" t="n">
        <f aca="false">IF(B7=0,"-",D7/B7-1)</f>
        <v>0.25</v>
      </c>
      <c r="H7" s="15" t="n">
        <f aca="false">(E7-C7)*100</f>
        <v>0.000698486722471824</v>
      </c>
    </row>
    <row r="8" customFormat="false" ht="15" hidden="false" customHeight="false" outlineLevel="0" collapsed="false">
      <c r="A8" s="10" t="s">
        <v>14</v>
      </c>
      <c r="B8" s="11" t="n">
        <v>1716</v>
      </c>
      <c r="C8" s="16" t="n">
        <f aca="false">B8/$B$6</f>
        <v>0.00392997499106824</v>
      </c>
      <c r="D8" s="11" t="n">
        <v>1698</v>
      </c>
      <c r="E8" s="16" t="n">
        <f aca="false">D8/$D$6</f>
        <v>0.00350634466665978</v>
      </c>
      <c r="F8" s="13" t="n">
        <f aca="false">D8-B8</f>
        <v>-18</v>
      </c>
      <c r="G8" s="14" t="n">
        <f aca="false">IF(B8=0,"-",D8/B8-1)</f>
        <v>-0.0104895104895105</v>
      </c>
      <c r="H8" s="17" t="n">
        <f aca="false">(E8-C8)*100</f>
        <v>-0.0423630324408455</v>
      </c>
    </row>
    <row r="9" customFormat="false" ht="15" hidden="false" customHeight="false" outlineLevel="0" collapsed="false">
      <c r="A9" s="10" t="s">
        <v>15</v>
      </c>
      <c r="B9" s="11" t="n">
        <v>871</v>
      </c>
      <c r="C9" s="16" t="n">
        <f aca="false">B9/$B$6</f>
        <v>0.00199476003334524</v>
      </c>
      <c r="D9" s="11" t="n">
        <v>661</v>
      </c>
      <c r="E9" s="16" t="n">
        <f aca="false">D9/$D$6</f>
        <v>0.00136495513819913</v>
      </c>
      <c r="F9" s="13" t="n">
        <f aca="false">D9-B9</f>
        <v>-210</v>
      </c>
      <c r="G9" s="14" t="n">
        <f aca="false">IF(B9=0,"-",D9/B9-1)</f>
        <v>-0.241102181400689</v>
      </c>
      <c r="H9" s="17" t="n">
        <f aca="false">(E9-C9)*100</f>
        <v>-0.0629804895146116</v>
      </c>
    </row>
    <row r="10" customFormat="false" ht="15" hidden="false" customHeight="false" outlineLevel="0" collapsed="false">
      <c r="A10" s="10" t="s">
        <v>16</v>
      </c>
      <c r="B10" s="11" t="n">
        <v>569</v>
      </c>
      <c r="C10" s="16" t="n">
        <f aca="false">B10/$B$6</f>
        <v>0.00130312107804069</v>
      </c>
      <c r="D10" s="11" t="n">
        <v>578</v>
      </c>
      <c r="E10" s="16" t="n">
        <f aca="false">D10/$D$6</f>
        <v>0.00119356137651905</v>
      </c>
      <c r="F10" s="13" t="n">
        <f aca="false">D10-B10</f>
        <v>9</v>
      </c>
      <c r="G10" s="14" t="n">
        <f aca="false">IF(B10=0,"-",D10/B10-1)</f>
        <v>0.015817223198594</v>
      </c>
      <c r="H10" s="17" t="n">
        <f aca="false">(E10-C10)*100</f>
        <v>-0.0109559701521637</v>
      </c>
    </row>
    <row r="11" customFormat="false" ht="15" hidden="false" customHeight="false" outlineLevel="0" collapsed="false">
      <c r="A11" s="10" t="s">
        <v>17</v>
      </c>
      <c r="B11" s="11" t="n">
        <v>5</v>
      </c>
      <c r="C11" s="12" t="n">
        <f aca="false">B11/$B$6</f>
        <v>1.14509760812012E-005</v>
      </c>
      <c r="D11" s="11" t="n">
        <v>7</v>
      </c>
      <c r="E11" s="12" t="n">
        <f aca="false">D11/$D$6</f>
        <v>1.44548955633796E-005</v>
      </c>
      <c r="F11" s="13" t="n">
        <f aca="false">D11-B11</f>
        <v>2</v>
      </c>
      <c r="G11" s="14" t="n">
        <f aca="false">IF(B11=0,"-",D11/B11-1)</f>
        <v>0.4</v>
      </c>
      <c r="H11" s="15" t="n">
        <f aca="false">(E11-C11)*100</f>
        <v>0.000300391948217839</v>
      </c>
    </row>
    <row r="12" customFormat="false" ht="15" hidden="false" customHeight="false" outlineLevel="0" collapsed="false">
      <c r="A12" s="18" t="s">
        <v>18</v>
      </c>
      <c r="B12" s="19" t="n">
        <f aca="false">SUM(B7:B11)</f>
        <v>3185</v>
      </c>
      <c r="C12" s="20" t="n">
        <f aca="false">B12/$B$6</f>
        <v>0.00729427176372514</v>
      </c>
      <c r="D12" s="19" t="n">
        <f aca="false">SUM(D7:D11)</f>
        <v>2974</v>
      </c>
      <c r="E12" s="20" t="n">
        <f aca="false">D12/$D$6</f>
        <v>0.00614126562935583</v>
      </c>
      <c r="F12" s="21" t="n">
        <f aca="false">D12-B12</f>
        <v>-211</v>
      </c>
      <c r="G12" s="22" t="n">
        <f aca="false">IF(B12=0,"-",D12/B12-1)</f>
        <v>-0.0662480376766091</v>
      </c>
      <c r="H12" s="23" t="n">
        <f aca="false">(E12-C12)*100</f>
        <v>-0.115300613436931</v>
      </c>
    </row>
    <row r="14" customFormat="false" ht="15" hidden="false" customHeight="false" outlineLevel="0" collapsed="false">
      <c r="A14" s="24" t="s">
        <v>19</v>
      </c>
    </row>
    <row r="15" customFormat="false" ht="26.85" hidden="false" customHeight="false" outlineLevel="0" collapsed="false">
      <c r="A15" s="3" t="s">
        <v>20</v>
      </c>
      <c r="B15" s="3" t="s">
        <v>21</v>
      </c>
      <c r="C15" s="3" t="s">
        <v>22</v>
      </c>
      <c r="D15" s="3" t="s">
        <v>23</v>
      </c>
      <c r="E15" s="3" t="s">
        <v>24</v>
      </c>
      <c r="F15" s="3" t="s">
        <v>25</v>
      </c>
      <c r="G15" s="3" t="s">
        <v>26</v>
      </c>
      <c r="H15" s="3" t="s">
        <v>27</v>
      </c>
    </row>
    <row r="16" customFormat="false" ht="15" hidden="false" customHeight="false" outlineLevel="0" collapsed="false">
      <c r="A16" s="10" t="s">
        <v>3</v>
      </c>
      <c r="B16" s="25" t="n">
        <f aca="false">B6</f>
        <v>436644</v>
      </c>
      <c r="C16" s="12" t="n">
        <f aca="false">C7</f>
        <v>5.49646851897656E-005</v>
      </c>
      <c r="D16" s="16" t="n">
        <f aca="false">C8</f>
        <v>0.00392997499106824</v>
      </c>
      <c r="E16" s="16" t="n">
        <f aca="false">C9</f>
        <v>0.00199476003334524</v>
      </c>
      <c r="F16" s="16" t="n">
        <f aca="false">C10</f>
        <v>0.00130312107804069</v>
      </c>
      <c r="G16" s="12" t="n">
        <f aca="false">C11</f>
        <v>1.14509760812012E-005</v>
      </c>
      <c r="H16" s="16" t="n">
        <f aca="false">C12</f>
        <v>0.00729427176372514</v>
      </c>
    </row>
    <row r="17" customFormat="false" ht="15" hidden="false" customHeight="false" outlineLevel="0" collapsed="false">
      <c r="A17" s="10" t="s">
        <v>4</v>
      </c>
      <c r="B17" s="25" t="n">
        <f aca="false">D6</f>
        <v>484265</v>
      </c>
      <c r="C17" s="12" t="n">
        <f aca="false">E7</f>
        <v>6.19495524144838E-005</v>
      </c>
      <c r="D17" s="16" t="n">
        <f aca="false">E8</f>
        <v>0.00350634466665978</v>
      </c>
      <c r="E17" s="16" t="n">
        <f aca="false">E9</f>
        <v>0.00136495513819913</v>
      </c>
      <c r="F17" s="16" t="n">
        <f aca="false">E10</f>
        <v>0.00119356137651905</v>
      </c>
      <c r="G17" s="12" t="n">
        <f aca="false">E11</f>
        <v>1.44548955633796E-005</v>
      </c>
      <c r="H17" s="16" t="n">
        <f aca="false">E12</f>
        <v>0.00614126562935583</v>
      </c>
    </row>
  </sheetData>
  <mergeCells count="4">
    <mergeCell ref="A4:A5"/>
    <mergeCell ref="B4:C4"/>
    <mergeCell ref="D4:E4"/>
    <mergeCell ref="F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2026-09-24T14:26:38Z</dcterms:created>
  <dc:creator>openpyxl</dc:creator>
  <dc:description/>
  <dc:language>ru-RU</dc:language>
  <cp:lastModifiedBy/>
  <dcterms:modified xsi:type="dcterms:W3CDTF">2026-09-24T17:26:41Z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