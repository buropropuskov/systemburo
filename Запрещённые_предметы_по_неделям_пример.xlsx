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 по неделям" sheetId="1" state="visible" r:id="rId3"/>
    <sheet name="Служебны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73" authorId="0">
      <text>
        <r>
          <rPr>
            <sz val="10"/>
            <rFont val="Arial"/>
            <family val="2"/>
          </rPr>
          <t xml:space="preserve">Дата понедельника первой недели. Следующие недели идут от неё через 7 дней.</t>
        </r>
      </text>
    </comment>
  </commentList>
</comments>
</file>

<file path=xl/sharedStrings.xml><?xml version="1.0" encoding="utf-8"?>
<sst xmlns="http://schemas.openxmlformats.org/spreadsheetml/2006/main" count="104" uniqueCount="45">
  <si>
    <t xml:space="preserve">Неделя к неделе: последняя заполненная против предыдущей</t>
  </si>
  <si>
    <t xml:space="preserve">Показатель</t>
  </si>
  <si>
    <t xml:space="preserve">Изменение</t>
  </si>
  <si>
    <t xml:space="preserve">ПРИМЕР, не фактические данные. Недельные числа получены из месячных итогов июля и августа: итог месяца разделён поровну на его дни, дни сложены в недели. Для реальной работы используй пустой шаблон.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</si>
  <si>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</si>
  <si>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</si>
  <si>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</si>
  <si>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</si>
  <si>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</si>
  <si>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</si>
  <si>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</si>
  <si>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</si>
  <si>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</si>
  <si>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</si>
  <si>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</si>
  <si>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</si>
  <si>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попыток проноса</t>
  </si>
  <si>
    <t xml:space="preserve">Цвет конверсии по строке: зелёная неделя с наименьшей долей изъятий, красная с наибольшей.</t>
  </si>
  <si>
    <t xml:space="preserve">Месяц к месяцу: текущий против прошлого</t>
  </si>
  <si>
    <t xml:space="preserve">Текущий месяц может быть неполным: сравнивай с учётом числа недель в заголовке.</t>
  </si>
  <si>
    <t xml:space="preserve">Журнал по неделям</t>
  </si>
  <si>
    <t xml:space="preserve">№</t>
  </si>
  <si>
    <t xml:space="preserve">С</t>
  </si>
  <si>
    <t xml:space="preserve">По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</si>
  <si>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</si>
  <si>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</si>
  <si>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</si>
  <si>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</si>
  <si>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</si>
  <si>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</si>
  <si>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</si>
  <si>
    <t xml:space="preserve">Жёлтые ячейки заполняются вручную, недели подряд, без пропусков. Неделя относится к месяцу по дате понедельника. Таблицы сверху и график считаются сами.</t>
  </si>
  <si>
    <t xml:space="preserve">Данные графика: ссылки на журнал. #Н/Д = неделя не заполнена или изъятий 0 (на логарифмической шкале ноль не рисуется).</t>
  </si>
  <si>
    <t xml:space="preserve">Опорные значения для таблиц</t>
  </si>
  <si>
    <t xml:space="preserve">Неделя</t>
  </si>
  <si>
    <t xml:space="preserve">Последняя заполненная неделя (№)</t>
  </si>
  <si>
    <t xml:space="preserve">Начало текущего месяца</t>
  </si>
  <si>
    <t xml:space="preserve">Начало прошлого месяца</t>
  </si>
  <si>
    <t xml:space="preserve">Начало следующего месяца</t>
  </si>
  <si>
    <t xml:space="preserve">Первая неделя текущего месяца (№)</t>
  </si>
  <si>
    <t xml:space="preserve">Неделя 1 текущего месяца (№)</t>
  </si>
  <si>
    <t xml:space="preserve">Неделя 2 текущего месяца (№)</t>
  </si>
  <si>
    <t xml:space="preserve">Неделя 3 текущего месяца (№)</t>
  </si>
  <si>
    <t xml:space="preserve">Неделя 4 текущего месяца (№)</t>
  </si>
  <si>
    <t xml:space="preserve">Неделя 5 текущего месяца (№)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</si>
</sst>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%"/>
    <numFmt numFmtId="167" formatCode="\+#,##0;\-#,##0;0"/>
    <numFmt numFmtId="168" formatCode="\+0.0%;\-0.0%;0.0%"/>
    <numFmt numFmtId="169" formatCode="\+0.000;\-0.000;0.000"/>
    <numFmt numFmtId="170" formatCode="0.0000%"/>
    <numFmt numFmtId="171" formatCode="\+0.0000;\-0.0000;0.0000"/>
    <numFmt numFmtId="172" formatCode="dd/mm/yyyy"/>
    <numFmt numFmtId="173" formatCode="[&lt;0.00005]0.000%;[&lt;0.0005]0.00%;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3E3E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64B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64B"/>
      <rgbColor rgb="FFBFBFBF"/>
      <rgbColor rgb="FF878787"/>
      <rgbColor rgb="FF9999FF"/>
      <rgbColor rgb="FF7030A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3E3E3"/>
      <rgbColor rgb="FFFFFF99"/>
      <rgbColor rgb="FFD9D9D9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Посетители и конверсия по неделям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Служебный!B2</c:f>
              <c:strCache>
                <c:ptCount val="1"/>
                <c:pt idx="0">
                  <c:v>Посетители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BDD7E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BDD7E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Служебный!$B$3:$B$28</c:f>
              <c:numCache>
                <c:formatCode>#,##0</c:formatCode>
                <c:ptCount val="26"/>
                <c:pt idx="0">
                  <c:v>98597</c:v>
                </c:pt>
                <c:pt idx="1">
                  <c:v>98597</c:v>
                </c:pt>
                <c:pt idx="2">
                  <c:v>98597</c:v>
                </c:pt>
                <c:pt idx="3">
                  <c:v>101669</c:v>
                </c:pt>
                <c:pt idx="4">
                  <c:v>109350</c:v>
                </c:pt>
                <c:pt idx="5">
                  <c:v>109350</c:v>
                </c:pt>
                <c:pt idx="6">
                  <c:v>109350</c:v>
                </c:pt>
                <c:pt idx="7">
                  <c:v>109350</c:v>
                </c:pt>
              </c:numCache>
            </c:numRef>
          </c:val>
        </c:ser>
        <c:gapWidth val="40"/>
        <c:overlap val="0"/>
        <c:axId val="99971835"/>
        <c:axId val="79006264"/>
      </c:barChart>
      <c:lineChart>
        <c:grouping val="standard"/>
        <c:varyColors val="0"/>
        <c:ser>
          <c:idx val="1"/>
          <c:order val="1"/>
          <c:tx>
            <c:strRef>
              <c:f>Служебный!C2</c:f>
              <c:strCache>
                <c:ptCount val="1"/>
                <c:pt idx="0">
                  <c:v>Оружие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Служебный!$C$3:$C$28</c:f>
              <c:numCache>
                <c:formatCode>0.000%</c:formatCode>
                <c:ptCount val="26"/>
                <c:pt idx="0">
                  <c:v>5.07114820937757E-005</c:v>
                </c:pt>
                <c:pt idx="1">
                  <c:v>5.07114820937757E-005</c:v>
                </c:pt>
                <c:pt idx="2">
                  <c:v>5.07114820937757E-005</c:v>
                </c:pt>
                <c:pt idx="3">
                  <c:v>5.90150389991049E-005</c:v>
                </c:pt>
                <c:pt idx="4">
                  <c:v>6.40146319158665E-005</c:v>
                </c:pt>
                <c:pt idx="5">
                  <c:v>6.40146319158665E-005</c:v>
                </c:pt>
                <c:pt idx="6">
                  <c:v>6.40146319158665E-005</c:v>
                </c:pt>
                <c:pt idx="7">
                  <c:v>6.40146319158665E-005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Служебный!D2</c:f>
              <c:strCache>
                <c:ptCount val="1"/>
                <c:pt idx="0">
                  <c:v>Колющее</c:v>
                </c:pt>
              </c:strCache>
            </c:strRef>
          </c:tx>
          <c:spPr>
            <a:solidFill>
              <a:srgbClr val="1F4E78"/>
            </a:solidFill>
            <a:ln w="2232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Служебный!$D$3:$D$28</c:f>
              <c:numCache>
                <c:formatCode>0.000%</c:formatCode>
                <c:ptCount val="26"/>
                <c:pt idx="0">
                  <c:v>0.00392506871405824</c:v>
                </c:pt>
                <c:pt idx="1">
                  <c:v>0.00392506871405824</c:v>
                </c:pt>
                <c:pt idx="2">
                  <c:v>0.00392506871405824</c:v>
                </c:pt>
                <c:pt idx="3">
                  <c:v>0.00379663417560908</c:v>
                </c:pt>
                <c:pt idx="4">
                  <c:v>0.00350251486053955</c:v>
                </c:pt>
                <c:pt idx="5">
                  <c:v>0.00350251486053955</c:v>
                </c:pt>
                <c:pt idx="6">
                  <c:v>0.00350251486053955</c:v>
                </c:pt>
                <c:pt idx="7">
                  <c:v>0.00350251486053955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Служебный!E2</c:f>
              <c:strCache>
                <c:ptCount val="1"/>
                <c:pt idx="0">
                  <c:v>Аэрозоль</c:v>
                </c:pt>
              </c:strCache>
            </c:strRef>
          </c:tx>
          <c:spPr>
            <a:solidFill>
              <a:srgbClr val="70AD47"/>
            </a:solidFill>
            <a:ln w="2232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Служебный!$E$3:$E$28</c:f>
              <c:numCache>
                <c:formatCode>0.000%</c:formatCode>
                <c:ptCount val="26"/>
                <c:pt idx="0">
                  <c:v>0.00199803239449476</c:v>
                </c:pt>
                <c:pt idx="1">
                  <c:v>0.00199803239449476</c:v>
                </c:pt>
                <c:pt idx="2">
                  <c:v>0.00199803239449476</c:v>
                </c:pt>
                <c:pt idx="3">
                  <c:v>0.0017999586894727</c:v>
                </c:pt>
                <c:pt idx="4">
                  <c:v>0.0013625971650663</c:v>
                </c:pt>
                <c:pt idx="5">
                  <c:v>0.0013625971650663</c:v>
                </c:pt>
                <c:pt idx="6">
                  <c:v>0.0013625971650663</c:v>
                </c:pt>
                <c:pt idx="7">
                  <c:v>0.0013625971650663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Служебный!F2</c:f>
              <c:strCache>
                <c:ptCount val="1"/>
                <c:pt idx="0">
                  <c:v>Спирт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Служебный!$F$3:$F$28</c:f>
              <c:numCache>
                <c:formatCode>0.000%</c:formatCode>
                <c:ptCount val="26"/>
                <c:pt idx="0">
                  <c:v>0.00129821394160066</c:v>
                </c:pt>
                <c:pt idx="1">
                  <c:v>0.00129821394160066</c:v>
                </c:pt>
                <c:pt idx="2">
                  <c:v>0.00129821394160066</c:v>
                </c:pt>
                <c:pt idx="3">
                  <c:v>0.00126882333848076</c:v>
                </c:pt>
                <c:pt idx="4">
                  <c:v>0.00119798811156836</c:v>
                </c:pt>
                <c:pt idx="5">
                  <c:v>0.00119798811156836</c:v>
                </c:pt>
                <c:pt idx="6">
                  <c:v>0.00119798811156836</c:v>
                </c:pt>
                <c:pt idx="7">
                  <c:v>0.00119798811156836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Служебный!G2</c:f>
              <c:strCache>
                <c:ptCount val="1"/>
                <c:pt idx="0">
                  <c:v>Пиротехника</c:v>
                </c:pt>
              </c:strCache>
            </c:strRef>
          </c:tx>
          <c:spPr>
            <a:solidFill>
              <a:srgbClr val="7030A0"/>
            </a:solidFill>
            <a:ln w="2232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Служебный!$G$3:$G$28</c:f>
              <c:numCache>
                <c:formatCode>0.000%</c:formatCode>
                <c:ptCount val="26"/>
                <c:pt idx="0">
                  <c:v>1.01422964187551E-005</c:v>
                </c:pt>
                <c:pt idx="1">
                  <c:v>1.01422964187551E-005</c:v>
                </c:pt>
                <c:pt idx="2">
                  <c:v>1.01422964187551E-005</c:v>
                </c:pt>
                <c:pt idx="3">
                  <c:v>9.83583983318416E-006</c:v>
                </c:pt>
                <c:pt idx="4">
                  <c:v>1.82898948331047E-005</c:v>
                </c:pt>
                <c:pt idx="5">
                  <c:v>1.82898948331047E-005</c:v>
                </c:pt>
                <c:pt idx="6">
                  <c:v>1.82898948331047E-005</c:v>
                </c:pt>
                <c:pt idx="7">
                  <c:v>1.82898948331047E-005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Служебный!H2</c:f>
              <c:strCache>
                <c:ptCount val="1"/>
                <c:pt idx="0">
                  <c:v>Всего попыток проноса</c:v>
                </c:pt>
              </c:strCache>
            </c:strRef>
          </c:tx>
          <c:spPr>
            <a:solidFill>
              <a:srgbClr val="000000"/>
            </a:solidFill>
            <a:ln w="34920">
              <a:solidFill>
                <a:srgbClr val="000000"/>
              </a:solidFill>
              <a:round/>
            </a:ln>
          </c:spPr>
          <c:marker>
            <c:symbol val="circle"/>
            <c:size val="6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4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Служебный!$H$3:$H$28</c:f>
              <c:numCache>
                <c:formatCode>0.000%</c:formatCode>
                <c:ptCount val="26"/>
                <c:pt idx="0">
                  <c:v>0.00728216882866619</c:v>
                </c:pt>
                <c:pt idx="1">
                  <c:v>0.00728216882866619</c:v>
                </c:pt>
                <c:pt idx="2">
                  <c:v>0.00728216882866619</c:v>
                </c:pt>
                <c:pt idx="3">
                  <c:v>0.00693426708239483</c:v>
                </c:pt>
                <c:pt idx="4">
                  <c:v>0.00614540466392318</c:v>
                </c:pt>
                <c:pt idx="5">
                  <c:v>0.00614540466392318</c:v>
                </c:pt>
                <c:pt idx="6">
                  <c:v>0.00614540466392318</c:v>
                </c:pt>
                <c:pt idx="7">
                  <c:v>0.00614540466392318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26691"/>
        <c:axId val="19156888"/>
      </c:lineChart>
      <c:catAx>
        <c:axId val="99971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06264"/>
        <c:crosses val="autoZero"/>
        <c:auto val="1"/>
        <c:lblAlgn val="ctr"/>
        <c:lblOffset val="100"/>
        <c:noMultiLvlLbl val="0"/>
      </c:catAx>
      <c:valAx>
        <c:axId val="79006264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 за неделю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971835"/>
        <c:crosses val="autoZero"/>
        <c:crossBetween val="between"/>
      </c:valAx>
      <c:catAx>
        <c:axId val="27266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56888"/>
        <c:crosses val="autoZero"/>
        <c:auto val="1"/>
        <c:lblAlgn val="ctr"/>
        <c:lblOffset val="100"/>
        <c:noMultiLvlLbl val="0"/>
      </c:catAx>
      <c:valAx>
        <c:axId val="19156888"/>
        <c:scaling>
          <c:logBase val="10"/>
          <c:orientation val="minMax"/>
          <c:max val="0.01"/>
          <c:min val="1E-00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26691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10</xdr:col>
      <xdr:colOff>861120</xdr:colOff>
      <xdr:row>66</xdr:row>
      <xdr:rowOff>44640</xdr:rowOff>
    </xdr:to>
    <xdr:graphicFrame>
      <xdr:nvGraphicFramePr>
        <xdr:cNvPr id="1" name="Chart 1"/>
        <xdr:cNvGraphicFramePr/>
      </xdr:nvGraphicFramePr>
      <xdr:xfrm>
        <a:off x="0" y="7810560"/>
        <a:ext cx="107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6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tr">
        <f aca="false">IF(Служебный!$K$2&lt;2,"-","Неделя "&amp;(Служебный!$K$2-1)&amp;": "&amp;TEXT(DAY(INDEX('Досмотр по неделям'!$B$73:$B$98,Служебный!$K$2-1)),"00")&amp;"."&amp;TEXT(MONTH(INDEX('Досмотр по неделям'!$B$73:$B$98,Служебный!$K$2-1)),"00")&amp;" - "&amp;TEXT(DAY(INDEX('Досмотр по неделям'!$C$73:$C$98,Служебный!$K$2-1)),"00")&amp;"."&amp;TEXT(MONTH(INDEX('Досмотр по неделям'!$C$73:$C$98,Служебный!$K$2-1)),"00"))</f>
        <v>Неделя 7: 17.08 - 23.08</v>
      </c>
      <c r="C2" s="2"/>
      <c r="D2" s="2" t="str">
        <f aca="false">IF(Служебный!$K$2&lt;1,"-","Неделя "&amp;(Служебный!$K$2-0)&amp;": "&amp;TEXT(DAY(INDEX('Досмотр по неделям'!$B$73:$B$98,Служебный!$K$2-0)),"00")&amp;"."&amp;TEXT(MONTH(INDEX('Досмотр по неделям'!$B$73:$B$98,Служебный!$K$2-0)),"00")&amp;" - "&amp;TEXT(DAY(INDEX('Досмотр по неделям'!$C$73:$C$98,Служебный!$K$2-0)),"00")&amp;"."&amp;TEXT(MONTH(INDEX('Досмотр по неделям'!$C$73:$C$98,Служебный!$K$2-0)),"00"))</f>
        <v>Неделя 8: 24.08 - 30.08</v>
      </c>
      <c r="E2" s="2"/>
      <c r="F2" s="2" t="s">
        <v>2</v>
      </c>
      <c r="G2" s="2"/>
      <c r="H2" s="2"/>
      <c r="J2" s="3" t="s">
        <v>3</v>
      </c>
      <c r="K2" s="3"/>
      <c r="L2" s="3"/>
      <c r="M2" s="3"/>
      <c r="N2" s="3"/>
      <c r="O2" s="3"/>
      <c r="P2" s="3"/>
    </row>
    <row r="3" customFormat="false" ht="30" hidden="false" customHeight="true" outlineLevel="0" collapsed="false">
      <c r="A3" s="2"/>
      <c r="B3" s="2" t="s">
        <v>4</v>
      </c>
      <c r="C3" s="2" t="s">
        <v>5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9</v>
      </c>
      <c r="B4" s="5" t="n">
        <f aca="false">IF(Служебный!$K$2&lt;2,"",INDEX('Досмотр по неделям'!$D$73:$D$98,Служебный!$K$2-1))</f>
        <v>109350</v>
      </c>
      <c r="C4" s="6" t="s">
        <v>10</v>
      </c>
      <c r="D4" s="5" t="n">
        <f aca="false">IF(Служебный!$K$2&lt;1,"",INDEX('Досмотр по неделям'!$D$73:$D$98,Служебный!$K$2))</f>
        <v>109350</v>
      </c>
      <c r="E4" s="6" t="s">
        <v>10</v>
      </c>
      <c r="F4" s="7" t="n">
        <f aca="false">IF(OR(B4="",D4=""),"-",D4-B4)</f>
        <v>0</v>
      </c>
      <c r="G4" s="8" t="n">
        <f aca="false">IF(OR(B4="",D4="",B4=0),"-",D4/B4-1)</f>
        <v>0</v>
      </c>
      <c r="H4" s="9" t="s">
        <v>10</v>
      </c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10" t="s">
        <v>11</v>
      </c>
      <c r="B5" s="11" t="n">
        <f aca="false">IF(Служебный!$K$2&lt;2,"",INDEX('Досмотр по неделям'!$E$73:$E$98,Служебный!$K$2-1))</f>
        <v>7</v>
      </c>
      <c r="C5" s="12" t="n">
        <f aca="false">IF(OR(B5="",$B$4="",$B$4=0),"-",B5/$B$4)</f>
        <v>6.40146319158665E-005</v>
      </c>
      <c r="D5" s="11" t="n">
        <f aca="false">IF(Служебный!$K$2&lt;1,"",INDEX('Досмотр по неделям'!$E$73:$E$98,Служебный!$K$2))</f>
        <v>7</v>
      </c>
      <c r="E5" s="12" t="n">
        <f aca="false">IF(OR(D5="",$D$4="",$D$4=0),"-",D5/$D$4)</f>
        <v>6.40146319158665E-005</v>
      </c>
      <c r="F5" s="13" t="n">
        <f aca="false">IF(OR(B5="",D5=""),"-",D5-B5)</f>
        <v>0</v>
      </c>
      <c r="G5" s="14" t="n">
        <f aca="false">IF(OR(B5="",D5="",B5=0),"-",D5/B5-1)</f>
        <v>0</v>
      </c>
      <c r="H5" s="15" t="n">
        <f aca="false">IF(OR(C5="-",E5="-"),"-",(E5-C5)*100)</f>
        <v>0</v>
      </c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10" t="s">
        <v>12</v>
      </c>
      <c r="B6" s="11" t="n">
        <f aca="false">IF(Служебный!$K$2&lt;2,"",INDEX('Досмотр по неделям'!$F$73:$F$98,Служебный!$K$2-1))</f>
        <v>383</v>
      </c>
      <c r="C6" s="16" t="n">
        <f aca="false">IF(OR(B6="",$B$4="",$B$4=0),"-",B6/$B$4)</f>
        <v>0.00350251486053955</v>
      </c>
      <c r="D6" s="11" t="n">
        <f aca="false">IF(Служебный!$K$2&lt;1,"",INDEX('Досмотр по неделям'!$F$73:$F$98,Служебный!$K$2))</f>
        <v>383</v>
      </c>
      <c r="E6" s="16" t="n">
        <f aca="false">IF(OR(D6="",$D$4="",$D$4=0),"-",D6/$D$4)</f>
        <v>0.00350251486053955</v>
      </c>
      <c r="F6" s="13" t="n">
        <f aca="false">IF(OR(B6="",D6=""),"-",D6-B6)</f>
        <v>0</v>
      </c>
      <c r="G6" s="14" t="n">
        <f aca="false">IF(OR(B6="",D6="",B6=0),"-",D6/B6-1)</f>
        <v>0</v>
      </c>
      <c r="H6" s="17" t="n">
        <f aca="false">IF(OR(C6="-",E6="-"),"-",(E6-C6)*100)</f>
        <v>0</v>
      </c>
      <c r="J6" s="3"/>
      <c r="K6" s="3"/>
      <c r="L6" s="3"/>
      <c r="M6" s="3"/>
      <c r="N6" s="3"/>
      <c r="O6" s="3"/>
      <c r="P6" s="3"/>
    </row>
    <row r="7" customFormat="false" ht="15" hidden="false" customHeight="false" outlineLevel="0" collapsed="false">
      <c r="A7" s="10" t="s">
        <v>13</v>
      </c>
      <c r="B7" s="11" t="n">
        <f aca="false">IF(Служебный!$K$2&lt;2,"",INDEX('Досмотр по неделям'!$G$73:$G$98,Служебный!$K$2-1))</f>
        <v>149</v>
      </c>
      <c r="C7" s="16" t="n">
        <f aca="false">IF(OR(B7="",$B$4="",$B$4=0),"-",B7/$B$4)</f>
        <v>0.0013625971650663</v>
      </c>
      <c r="D7" s="11" t="n">
        <f aca="false">IF(Служебный!$K$2&lt;1,"",INDEX('Досмотр по неделям'!$G$73:$G$98,Служебный!$K$2))</f>
        <v>149</v>
      </c>
      <c r="E7" s="16" t="n">
        <f aca="false">IF(OR(D7="",$D$4="",$D$4=0),"-",D7/$D$4)</f>
        <v>0.0013625971650663</v>
      </c>
      <c r="F7" s="13" t="n">
        <f aca="false">IF(OR(B7="",D7=""),"-",D7-B7)</f>
        <v>0</v>
      </c>
      <c r="G7" s="14" t="n">
        <f aca="false">IF(OR(B7="",D7="",B7=0),"-",D7/B7-1)</f>
        <v>0</v>
      </c>
      <c r="H7" s="17" t="n">
        <f aca="false">IF(OR(C7="-",E7="-"),"-",(E7-C7)*100)</f>
        <v>0</v>
      </c>
    </row>
    <row r="8" customFormat="false" ht="15" hidden="false" customHeight="false" outlineLevel="0" collapsed="false">
      <c r="A8" s="10" t="s">
        <v>14</v>
      </c>
      <c r="B8" s="11" t="n">
        <f aca="false">IF(Служебный!$K$2&lt;2,"",INDEX('Досмотр по неделям'!$H$73:$H$98,Служебный!$K$2-1))</f>
        <v>131</v>
      </c>
      <c r="C8" s="16" t="n">
        <f aca="false">IF(OR(B8="",$B$4="",$B$4=0),"-",B8/$B$4)</f>
        <v>0.00119798811156836</v>
      </c>
      <c r="D8" s="11" t="n">
        <f aca="false">IF(Служебный!$K$2&lt;1,"",INDEX('Досмотр по неделям'!$H$73:$H$98,Служебный!$K$2))</f>
        <v>131</v>
      </c>
      <c r="E8" s="16" t="n">
        <f aca="false">IF(OR(D8="",$D$4="",$D$4=0),"-",D8/$D$4)</f>
        <v>0.00119798811156836</v>
      </c>
      <c r="F8" s="13" t="n">
        <f aca="false">IF(OR(B8="",D8=""),"-",D8-B8)</f>
        <v>0</v>
      </c>
      <c r="G8" s="14" t="n">
        <f aca="false">IF(OR(B8="",D8="",B8=0),"-",D8/B8-1)</f>
        <v>0</v>
      </c>
      <c r="H8" s="17" t="n">
        <f aca="false">IF(OR(C8="-",E8="-"),"-",(E8-C8)*100)</f>
        <v>0</v>
      </c>
    </row>
    <row r="9" customFormat="false" ht="15" hidden="false" customHeight="false" outlineLevel="0" collapsed="false">
      <c r="A9" s="10" t="s">
        <v>15</v>
      </c>
      <c r="B9" s="11" t="n">
        <f aca="false">IF(Служебный!$K$2&lt;2,"",INDEX('Досмотр по неделям'!$I$73:$I$98,Служебный!$K$2-1))</f>
        <v>2</v>
      </c>
      <c r="C9" s="12" t="n">
        <f aca="false">IF(OR(B9="",$B$4="",$B$4=0),"-",B9/$B$4)</f>
        <v>1.82898948331047E-005</v>
      </c>
      <c r="D9" s="11" t="n">
        <f aca="false">IF(Служебный!$K$2&lt;1,"",INDEX('Досмотр по неделям'!$I$73:$I$98,Служебный!$K$2))</f>
        <v>2</v>
      </c>
      <c r="E9" s="12" t="n">
        <f aca="false">IF(OR(D9="",$D$4="",$D$4=0),"-",D9/$D$4)</f>
        <v>1.82898948331047E-005</v>
      </c>
      <c r="F9" s="13" t="n">
        <f aca="false">IF(OR(B9="",D9=""),"-",D9-B9)</f>
        <v>0</v>
      </c>
      <c r="G9" s="14" t="n">
        <f aca="false">IF(OR(B9="",D9="",B9=0),"-",D9/B9-1)</f>
        <v>0</v>
      </c>
      <c r="H9" s="15" t="n">
        <f aca="false">IF(OR(C9="-",E9="-"),"-",(E9-C9)*100)</f>
        <v>0</v>
      </c>
    </row>
    <row r="10" customFormat="false" ht="15" hidden="false" customHeight="false" outlineLevel="0" collapsed="false">
      <c r="A10" s="18" t="s">
        <v>16</v>
      </c>
      <c r="B10" s="19" t="n">
        <f aca="false">IF(Служебный!$K$2&lt;2,"",INDEX('Досмотр по неделям'!$J$73:$J$98,Служебный!$K$2-1))</f>
        <v>672</v>
      </c>
      <c r="C10" s="20" t="n">
        <f aca="false">IF(OR(B10="",$B$4="",$B$4=0),"-",B10/$B$4)</f>
        <v>0.00614540466392318</v>
      </c>
      <c r="D10" s="19" t="n">
        <f aca="false">IF(Служебный!$K$2&lt;1,"",INDEX('Досмотр по неделям'!$J$73:$J$98,Служебный!$K$2))</f>
        <v>672</v>
      </c>
      <c r="E10" s="20" t="n">
        <f aca="false">IF(OR(D10="",$D$4="",$D$4=0),"-",D10/$D$4)</f>
        <v>0.00614540466392318</v>
      </c>
      <c r="F10" s="21" t="n">
        <f aca="false">IF(OR(B10="",D10=""),"-",D10-B10)</f>
        <v>0</v>
      </c>
      <c r="G10" s="22" t="n">
        <f aca="false">IF(OR(B10="",D10="",B10=0),"-",D10/B10-1)</f>
        <v>0</v>
      </c>
      <c r="H10" s="23" t="n">
        <f aca="false">IF(OR(C10="-",E10="-"),"-",(E10-C10)*100)</f>
        <v>0</v>
      </c>
    </row>
    <row r="12" customFormat="false" ht="15" hidden="false" customHeight="false" outlineLevel="0" collapsed="false">
      <c r="A12" s="1" t="str">
        <f aca="false">IF(Служебный!$K$3="","Недели текущего месяца","Недели текущего месяца: "&amp;CHOOSE(MONTH(Служебный!$K$3),"Январь","Февраль","Март","Апрель","Май","Июнь","Июль","Август","Сентябрь","Октябрь","Ноябрь","Декабрь")&amp;" "&amp;YEAR(Служебный!$K$3))</f>
        <v>Недели текущего месяца: Август 2026</v>
      </c>
    </row>
    <row r="13" customFormat="false" ht="30" hidden="false" customHeight="true" outlineLevel="0" collapsed="false">
      <c r="A13" s="2" t="s">
        <v>1</v>
      </c>
      <c r="B13" s="2" t="str">
        <f aca="false">IF(Служебный!$K$7="","Неделя 1","Неделя 1: "&amp;TEXT(DAY(INDEX('Досмотр по неделям'!$B$73:$B$98,Служебный!$K$7)),"00")&amp;"."&amp;TEXT(MONTH(INDEX('Досмотр по неделям'!$B$73:$B$98,Служебный!$K$7)),"00")&amp;" - "&amp;TEXT(DAY(INDEX('Досмотр по неделям'!$C$73:$C$98,Служебный!$K$7)),"00")&amp;"."&amp;TEXT(MONTH(INDEX('Досмотр по неделям'!$C$73:$C$98,Служебный!$K$7)),"00"))</f>
        <v>Неделя 1: 03.08 - 09.08</v>
      </c>
      <c r="C13" s="2"/>
      <c r="D13" s="2" t="str">
        <f aca="false">IF(Служебный!$K$8="","Неделя 2","Неделя 2: "&amp;TEXT(DAY(INDEX('Досмотр по неделям'!$B$73:$B$98,Служебный!$K$8)),"00")&amp;"."&amp;TEXT(MONTH(INDEX('Досмотр по неделям'!$B$73:$B$98,Служебный!$K$8)),"00")&amp;" - "&amp;TEXT(DAY(INDEX('Досмотр по неделям'!$C$73:$C$98,Служебный!$K$8)),"00")&amp;"."&amp;TEXT(MONTH(INDEX('Досмотр по неделям'!$C$73:$C$98,Служебный!$K$8)),"00"))</f>
        <v>Неделя 2: 10.08 - 16.08</v>
      </c>
      <c r="E13" s="2"/>
      <c r="F13" s="2" t="str">
        <f aca="false">IF(Служебный!$K$9="","Неделя 3","Неделя 3: "&amp;TEXT(DAY(INDEX('Досмотр по неделям'!$B$73:$B$98,Служебный!$K$9)),"00")&amp;"."&amp;TEXT(MONTH(INDEX('Досмотр по неделям'!$B$73:$B$98,Служебный!$K$9)),"00")&amp;" - "&amp;TEXT(DAY(INDEX('Досмотр по неделям'!$C$73:$C$98,Служебный!$K$9)),"00")&amp;"."&amp;TEXT(MONTH(INDEX('Досмотр по неделям'!$C$73:$C$98,Служебный!$K$9)),"00"))</f>
        <v>Неделя 3: 17.08 - 23.08</v>
      </c>
      <c r="G13" s="2"/>
      <c r="H13" s="2" t="str">
        <f aca="false">IF(Служебный!$K$10="","Неделя 4","Неделя 4: "&amp;TEXT(DAY(INDEX('Досмотр по неделям'!$B$73:$B$98,Служебный!$K$10)),"00")&amp;"."&amp;TEXT(MONTH(INDEX('Досмотр по неделям'!$B$73:$B$98,Служебный!$K$10)),"00")&amp;" - "&amp;TEXT(DAY(INDEX('Досмотр по неделям'!$C$73:$C$98,Служебный!$K$10)),"00")&amp;"."&amp;TEXT(MONTH(INDEX('Досмотр по неделям'!$C$73:$C$98,Служебный!$K$10)),"00"))</f>
        <v>Неделя 4: 24.08 - 30.08</v>
      </c>
      <c r="I13" s="2"/>
      <c r="J13" s="2" t="str">
        <f aca="false">IF(Служебный!$K$11="","Неделя 5","Неделя 5: "&amp;TEXT(DAY(INDEX('Досмотр по неделям'!$B$73:$B$98,Служебный!$K$11)),"00")&amp;"."&amp;TEXT(MONTH(INDEX('Досмотр по неделям'!$B$73:$B$98,Служебный!$K$11)),"00")&amp;" - "&amp;TEXT(DAY(INDEX('Досмотр по неделям'!$C$73:$C$98,Служебный!$K$11)),"00")&amp;"."&amp;TEXT(MONTH(INDEX('Досмотр по неделям'!$C$73:$C$98,Служебный!$K$11)),"00"))</f>
        <v>Неделя 5: 31.08 - 06.09</v>
      </c>
      <c r="K13" s="2"/>
    </row>
    <row r="14" customFormat="false" ht="15" hidden="false" customHeight="false" outlineLevel="0" collapsed="false">
      <c r="A14" s="2"/>
      <c r="B14" s="2" t="s">
        <v>4</v>
      </c>
      <c r="C14" s="2" t="s">
        <v>5</v>
      </c>
      <c r="D14" s="2" t="s">
        <v>4</v>
      </c>
      <c r="E14" s="2" t="s">
        <v>5</v>
      </c>
      <c r="F14" s="2" t="s">
        <v>4</v>
      </c>
      <c r="G14" s="2" t="s">
        <v>5</v>
      </c>
      <c r="H14" s="2" t="s">
        <v>4</v>
      </c>
      <c r="I14" s="2" t="s">
        <v>5</v>
      </c>
      <c r="J14" s="2" t="s">
        <v>4</v>
      </c>
      <c r="K14" s="2" t="s">
        <v>5</v>
      </c>
    </row>
    <row r="15" customFormat="false" ht="15" hidden="false" customHeight="false" outlineLevel="0" collapsed="false">
      <c r="A15" s="4" t="s">
        <v>9</v>
      </c>
      <c r="B15" s="5" t="n">
        <f aca="false">IF(Служебный!$K$7="","",IF(INDEX('Досмотр по неделям'!$D$73:$D$98,Служебный!$K$7)="","",INDEX('Досмотр по неделям'!$D$73:$D$98,Служебный!$K$7)))</f>
        <v>109350</v>
      </c>
      <c r="C15" s="6" t="s">
        <v>10</v>
      </c>
      <c r="D15" s="5" t="n">
        <f aca="false">IF(Служебный!$K$8="","",IF(INDEX('Досмотр по неделям'!$D$73:$D$98,Служебный!$K$8)="","",INDEX('Досмотр по неделям'!$D$73:$D$98,Служебный!$K$8)))</f>
        <v>109350</v>
      </c>
      <c r="E15" s="6" t="s">
        <v>10</v>
      </c>
      <c r="F15" s="5" t="n">
        <f aca="false">IF(Служебный!$K$9="","",IF(INDEX('Досмотр по неделям'!$D$73:$D$98,Служебный!$K$9)="","",INDEX('Досмотр по неделям'!$D$73:$D$98,Служебный!$K$9)))</f>
        <v>109350</v>
      </c>
      <c r="G15" s="6" t="s">
        <v>10</v>
      </c>
      <c r="H15" s="5" t="n">
        <f aca="false">IF(Служебный!$K$10="","",IF(INDEX('Досмотр по неделям'!$D$73:$D$98,Служебный!$K$10)="","",INDEX('Досмотр по неделям'!$D$73:$D$98,Служебный!$K$10)))</f>
        <v>109350</v>
      </c>
      <c r="I15" s="6" t="s">
        <v>10</v>
      </c>
      <c r="J15" s="5" t="str">
        <f aca="false">IF(Служебный!$K$11="","",IF(INDEX('Досмотр по неделям'!$D$73:$D$98,Служебный!$K$11)="","",INDEX('Досмотр по неделям'!$D$73:$D$98,Служебный!$K$11)))</f>
        <v/>
      </c>
      <c r="K15" s="6" t="s">
        <v>10</v>
      </c>
    </row>
    <row r="16" customFormat="false" ht="15" hidden="false" customHeight="false" outlineLevel="0" collapsed="false">
      <c r="A16" s="10" t="s">
        <v>11</v>
      </c>
      <c r="B16" s="11" t="n">
        <f aca="false">IF(Служебный!$K$7="","",IF(INDEX('Досмотр по неделям'!$D$73:$D$98,Служебный!$K$7)="","",INDEX('Досмотр по неделям'!$E$73:$E$98,Служебный!$K$7)))</f>
        <v>7</v>
      </c>
      <c r="C16" s="24" t="n">
        <f aca="false">IF(OR(B16="",B$15="",B$15=0),"",B16/B$15)</f>
        <v>6.40146319158665E-005</v>
      </c>
      <c r="D16" s="11" t="n">
        <f aca="false">IF(Служебный!$K$8="","",IF(INDEX('Досмотр по неделям'!$D$73:$D$98,Служебный!$K$8)="","",INDEX('Досмотр по неделям'!$E$73:$E$98,Служебный!$K$8)))</f>
        <v>7</v>
      </c>
      <c r="E16" s="24" t="n">
        <f aca="false">IF(OR(D16="",D$15="",D$15=0),"",D16/D$15)</f>
        <v>6.40146319158665E-005</v>
      </c>
      <c r="F16" s="11" t="n">
        <f aca="false">IF(Служебный!$K$9="","",IF(INDEX('Досмотр по неделям'!$D$73:$D$98,Служебный!$K$9)="","",INDEX('Досмотр по неделям'!$E$73:$E$98,Служебный!$K$9)))</f>
        <v>7</v>
      </c>
      <c r="G16" s="24" t="n">
        <f aca="false">IF(OR(F16="",F$15="",F$15=0),"",F16/F$15)</f>
        <v>6.40146319158665E-005</v>
      </c>
      <c r="H16" s="11" t="n">
        <f aca="false">IF(Служебный!$K$10="","",IF(INDEX('Досмотр по неделям'!$D$73:$D$98,Служебный!$K$10)="","",INDEX('Досмотр по неделям'!$E$73:$E$98,Служебный!$K$10)))</f>
        <v>7</v>
      </c>
      <c r="I16" s="24" t="n">
        <f aca="false">IF(OR(H16="",H$15="",H$15=0),"",H16/H$15)</f>
        <v>6.40146319158665E-005</v>
      </c>
      <c r="J16" s="11" t="str">
        <f aca="false">IF(Служебный!$K$11="","",IF(INDEX('Досмотр по неделям'!$D$73:$D$98,Служебный!$K$11)="","",INDEX('Досмотр по неделям'!$E$73:$E$98,Служебный!$K$11)))</f>
        <v/>
      </c>
      <c r="K16" s="24" t="str">
        <f aca="false">IF(OR(J16="",J$15="",J$15=0),"",J16/J$15)</f>
        <v/>
      </c>
    </row>
    <row r="17" customFormat="false" ht="15" hidden="false" customHeight="false" outlineLevel="0" collapsed="false">
      <c r="A17" s="10" t="s">
        <v>12</v>
      </c>
      <c r="B17" s="11" t="n">
        <f aca="false">IF(Служебный!$K$7="","",IF(INDEX('Досмотр по неделям'!$D$73:$D$98,Служебный!$K$7)="","",INDEX('Досмотр по неделям'!$F$73:$F$98,Служебный!$K$7)))</f>
        <v>383</v>
      </c>
      <c r="C17" s="25" t="n">
        <f aca="false">IF(OR(B17="",B$15="",B$15=0),"",B17/B$15)</f>
        <v>0.00350251486053955</v>
      </c>
      <c r="D17" s="11" t="n">
        <f aca="false">IF(Служебный!$K$8="","",IF(INDEX('Досмотр по неделям'!$D$73:$D$98,Служебный!$K$8)="","",INDEX('Досмотр по неделям'!$F$73:$F$98,Служебный!$K$8)))</f>
        <v>383</v>
      </c>
      <c r="E17" s="25" t="n">
        <f aca="false">IF(OR(D17="",D$15="",D$15=0),"",D17/D$15)</f>
        <v>0.00350251486053955</v>
      </c>
      <c r="F17" s="11" t="n">
        <f aca="false">IF(Служебный!$K$9="","",IF(INDEX('Досмотр по неделям'!$D$73:$D$98,Служебный!$K$9)="","",INDEX('Досмотр по неделям'!$F$73:$F$98,Служебный!$K$9)))</f>
        <v>383</v>
      </c>
      <c r="G17" s="25" t="n">
        <f aca="false">IF(OR(F17="",F$15="",F$15=0),"",F17/F$15)</f>
        <v>0.00350251486053955</v>
      </c>
      <c r="H17" s="11" t="n">
        <f aca="false">IF(Служебный!$K$10="","",IF(INDEX('Досмотр по неделям'!$D$73:$D$98,Служебный!$K$10)="","",INDEX('Досмотр по неделям'!$F$73:$F$98,Служебный!$K$10)))</f>
        <v>383</v>
      </c>
      <c r="I17" s="25" t="n">
        <f aca="false">IF(OR(H17="",H$15="",H$15=0),"",H17/H$15)</f>
        <v>0.00350251486053955</v>
      </c>
      <c r="J17" s="11" t="str">
        <f aca="false">IF(Служебный!$K$11="","",IF(INDEX('Досмотр по неделям'!$D$73:$D$98,Служебный!$K$11)="","",INDEX('Досмотр по неделям'!$F$73:$F$98,Служебный!$K$11)))</f>
        <v/>
      </c>
      <c r="K17" s="25" t="str">
        <f aca="false">IF(OR(J17="",J$15="",J$15=0),"",J17/J$15)</f>
        <v/>
      </c>
    </row>
    <row r="18" customFormat="false" ht="15" hidden="false" customHeight="false" outlineLevel="0" collapsed="false">
      <c r="A18" s="10" t="s">
        <v>13</v>
      </c>
      <c r="B18" s="11" t="n">
        <f aca="false">IF(Служебный!$K$7="","",IF(INDEX('Досмотр по неделям'!$D$73:$D$98,Служебный!$K$7)="","",INDEX('Досмотр по неделям'!$G$73:$G$98,Служебный!$K$7)))</f>
        <v>149</v>
      </c>
      <c r="C18" s="25" t="n">
        <f aca="false">IF(OR(B18="",B$15="",B$15=0),"",B18/B$15)</f>
        <v>0.0013625971650663</v>
      </c>
      <c r="D18" s="11" t="n">
        <f aca="false">IF(Служебный!$K$8="","",IF(INDEX('Досмотр по неделям'!$D$73:$D$98,Служебный!$K$8)="","",INDEX('Досмотр по неделям'!$G$73:$G$98,Служебный!$K$8)))</f>
        <v>149</v>
      </c>
      <c r="E18" s="25" t="n">
        <f aca="false">IF(OR(D18="",D$15="",D$15=0),"",D18/D$15)</f>
        <v>0.0013625971650663</v>
      </c>
      <c r="F18" s="11" t="n">
        <f aca="false">IF(Служебный!$K$9="","",IF(INDEX('Досмотр по неделям'!$D$73:$D$98,Служебный!$K$9)="","",INDEX('Досмотр по неделям'!$G$73:$G$98,Служебный!$K$9)))</f>
        <v>149</v>
      </c>
      <c r="G18" s="25" t="n">
        <f aca="false">IF(OR(F18="",F$15="",F$15=0),"",F18/F$15)</f>
        <v>0.0013625971650663</v>
      </c>
      <c r="H18" s="11" t="n">
        <f aca="false">IF(Служебный!$K$10="","",IF(INDEX('Досмотр по неделям'!$D$73:$D$98,Служебный!$K$10)="","",INDEX('Досмотр по неделям'!$G$73:$G$98,Служебный!$K$10)))</f>
        <v>149</v>
      </c>
      <c r="I18" s="25" t="n">
        <f aca="false">IF(OR(H18="",H$15="",H$15=0),"",H18/H$15)</f>
        <v>0.0013625971650663</v>
      </c>
      <c r="J18" s="11" t="str">
        <f aca="false">IF(Служебный!$K$11="","",IF(INDEX('Досмотр по неделям'!$D$73:$D$98,Служебный!$K$11)="","",INDEX('Досмотр по неделям'!$G$73:$G$98,Служебный!$K$11)))</f>
        <v/>
      </c>
      <c r="K18" s="25" t="str">
        <f aca="false">IF(OR(J18="",J$15="",J$15=0),"",J18/J$15)</f>
        <v/>
      </c>
    </row>
    <row r="19" customFormat="false" ht="15" hidden="false" customHeight="false" outlineLevel="0" collapsed="false">
      <c r="A19" s="10" t="s">
        <v>14</v>
      </c>
      <c r="B19" s="11" t="n">
        <f aca="false">IF(Служебный!$K$7="","",IF(INDEX('Досмотр по неделям'!$D$73:$D$98,Служебный!$K$7)="","",INDEX('Досмотр по неделям'!$H$73:$H$98,Служебный!$K$7)))</f>
        <v>131</v>
      </c>
      <c r="C19" s="25" t="n">
        <f aca="false">IF(OR(B19="",B$15="",B$15=0),"",B19/B$15)</f>
        <v>0.00119798811156836</v>
      </c>
      <c r="D19" s="11" t="n">
        <f aca="false">IF(Служебный!$K$8="","",IF(INDEX('Досмотр по неделям'!$D$73:$D$98,Служебный!$K$8)="","",INDEX('Досмотр по неделям'!$H$73:$H$98,Служебный!$K$8)))</f>
        <v>131</v>
      </c>
      <c r="E19" s="25" t="n">
        <f aca="false">IF(OR(D19="",D$15="",D$15=0),"",D19/D$15)</f>
        <v>0.00119798811156836</v>
      </c>
      <c r="F19" s="11" t="n">
        <f aca="false">IF(Служебный!$K$9="","",IF(INDEX('Досмотр по неделям'!$D$73:$D$98,Служебный!$K$9)="","",INDEX('Досмотр по неделям'!$H$73:$H$98,Служебный!$K$9)))</f>
        <v>131</v>
      </c>
      <c r="G19" s="25" t="n">
        <f aca="false">IF(OR(F19="",F$15="",F$15=0),"",F19/F$15)</f>
        <v>0.00119798811156836</v>
      </c>
      <c r="H19" s="11" t="n">
        <f aca="false">IF(Служебный!$K$10="","",IF(INDEX('Досмотр по неделям'!$D$73:$D$98,Служебный!$K$10)="","",INDEX('Досмотр по неделям'!$H$73:$H$98,Служебный!$K$10)))</f>
        <v>131</v>
      </c>
      <c r="I19" s="25" t="n">
        <f aca="false">IF(OR(H19="",H$15="",H$15=0),"",H19/H$15)</f>
        <v>0.00119798811156836</v>
      </c>
      <c r="J19" s="11" t="str">
        <f aca="false">IF(Служебный!$K$11="","",IF(INDEX('Досмотр по неделям'!$D$73:$D$98,Служебный!$K$11)="","",INDEX('Досмотр по неделям'!$H$73:$H$98,Служебный!$K$11)))</f>
        <v/>
      </c>
      <c r="K19" s="25" t="str">
        <f aca="false">IF(OR(J19="",J$15="",J$15=0),"",J19/J$15)</f>
        <v/>
      </c>
    </row>
    <row r="20" customFormat="false" ht="15" hidden="false" customHeight="false" outlineLevel="0" collapsed="false">
      <c r="A20" s="10" t="s">
        <v>15</v>
      </c>
      <c r="B20" s="11" t="n">
        <f aca="false">IF(Служебный!$K$7="","",IF(INDEX('Досмотр по неделям'!$D$73:$D$98,Служебный!$K$7)="","",INDEX('Досмотр по неделям'!$I$73:$I$98,Служебный!$K$7)))</f>
        <v>2</v>
      </c>
      <c r="C20" s="24" t="n">
        <f aca="false">IF(OR(B20="",B$15="",B$15=0),"",B20/B$15)</f>
        <v>1.82898948331047E-005</v>
      </c>
      <c r="D20" s="11" t="n">
        <f aca="false">IF(Служебный!$K$8="","",IF(INDEX('Досмотр по неделям'!$D$73:$D$98,Служебный!$K$8)="","",INDEX('Досмотр по неделям'!$I$73:$I$98,Служебный!$K$8)))</f>
        <v>2</v>
      </c>
      <c r="E20" s="24" t="n">
        <f aca="false">IF(OR(D20="",D$15="",D$15=0),"",D20/D$15)</f>
        <v>1.82898948331047E-005</v>
      </c>
      <c r="F20" s="11" t="n">
        <f aca="false">IF(Служебный!$K$9="","",IF(INDEX('Досмотр по неделям'!$D$73:$D$98,Служебный!$K$9)="","",INDEX('Досмотр по неделям'!$I$73:$I$98,Служебный!$K$9)))</f>
        <v>2</v>
      </c>
      <c r="G20" s="24" t="n">
        <f aca="false">IF(OR(F20="",F$15="",F$15=0),"",F20/F$15)</f>
        <v>1.82898948331047E-005</v>
      </c>
      <c r="H20" s="11" t="n">
        <f aca="false">IF(Служебный!$K$10="","",IF(INDEX('Досмотр по неделям'!$D$73:$D$98,Служебный!$K$10)="","",INDEX('Досмотр по неделям'!$I$73:$I$98,Служебный!$K$10)))</f>
        <v>2</v>
      </c>
      <c r="I20" s="24" t="n">
        <f aca="false">IF(OR(H20="",H$15="",H$15=0),"",H20/H$15)</f>
        <v>1.82898948331047E-005</v>
      </c>
      <c r="J20" s="11" t="str">
        <f aca="false">IF(Служебный!$K$11="","",IF(INDEX('Досмотр по неделям'!$D$73:$D$98,Служебный!$K$11)="","",INDEX('Досмотр по неделям'!$I$73:$I$98,Служебный!$K$11)))</f>
        <v/>
      </c>
      <c r="K20" s="24" t="str">
        <f aca="false">IF(OR(J20="",J$15="",J$15=0),"",J20/J$15)</f>
        <v/>
      </c>
    </row>
    <row r="21" customFormat="false" ht="15" hidden="false" customHeight="false" outlineLevel="0" collapsed="false">
      <c r="A21" s="18" t="s">
        <v>16</v>
      </c>
      <c r="B21" s="19" t="n">
        <f aca="false">IF(Служебный!$K$7="","",IF(INDEX('Досмотр по неделям'!$D$73:$D$98,Служебный!$K$7)="","",INDEX('Досмотр по неделям'!$J$73:$J$98,Служебный!$K$7)))</f>
        <v>672</v>
      </c>
      <c r="C21" s="26" t="n">
        <f aca="false">IF(OR(B21="",B$15="",B$15=0),"",B21/B$15)</f>
        <v>0.00614540466392318</v>
      </c>
      <c r="D21" s="19" t="n">
        <f aca="false">IF(Служебный!$K$8="","",IF(INDEX('Досмотр по неделям'!$D$73:$D$98,Служебный!$K$8)="","",INDEX('Досмотр по неделям'!$J$73:$J$98,Служебный!$K$8)))</f>
        <v>672</v>
      </c>
      <c r="E21" s="26" t="n">
        <f aca="false">IF(OR(D21="",D$15="",D$15=0),"",D21/D$15)</f>
        <v>0.00614540466392318</v>
      </c>
      <c r="F21" s="19" t="n">
        <f aca="false">IF(Служебный!$K$9="","",IF(INDEX('Досмотр по неделям'!$D$73:$D$98,Служебный!$K$9)="","",INDEX('Досмотр по неделям'!$J$73:$J$98,Служебный!$K$9)))</f>
        <v>672</v>
      </c>
      <c r="G21" s="26" t="n">
        <f aca="false">IF(OR(F21="",F$15="",F$15=0),"",F21/F$15)</f>
        <v>0.00614540466392318</v>
      </c>
      <c r="H21" s="19" t="n">
        <f aca="false">IF(Служебный!$K$10="","",IF(INDEX('Досмотр по неделям'!$D$73:$D$98,Служебный!$K$10)="","",INDEX('Досмотр по неделям'!$J$73:$J$98,Служебный!$K$10)))</f>
        <v>672</v>
      </c>
      <c r="I21" s="26" t="n">
        <f aca="false">IF(OR(H21="",H$15="",H$15=0),"",H21/H$15)</f>
        <v>0.00614540466392318</v>
      </c>
      <c r="J21" s="19" t="str">
        <f aca="false">IF(Служебный!$K$11="","",IF(INDEX('Досмотр по неделям'!$D$73:$D$98,Служебный!$K$11)="","",INDEX('Досмотр по неделям'!$J$73:$J$98,Служебный!$K$11)))</f>
        <v/>
      </c>
      <c r="K21" s="26" t="str">
        <f aca="false">IF(OR(J21="",J$15="",J$15=0),"",J21/J$15)</f>
        <v/>
      </c>
    </row>
    <row r="22" customFormat="false" ht="15" hidden="false" customHeight="false" outlineLevel="0" collapsed="false">
      <c r="A22" s="27" t="s">
        <v>17</v>
      </c>
    </row>
    <row r="24" customFormat="false" ht="15" hidden="false" customHeight="false" outlineLevel="0" collapsed="false">
      <c r="A24" s="1" t="s">
        <v>18</v>
      </c>
    </row>
    <row r="25" customFormat="false" ht="30" hidden="false" customHeight="true" outlineLevel="0" collapsed="false">
      <c r="A25" s="2" t="s">
        <v>1</v>
      </c>
      <c r="B25" s="2" t="str">
        <f aca="false">IF(Служебный!$K$4="","-",CHOOSE(MONTH(Служебный!$K$4),"Январь","Февраль","Март","Апрель","Май","Июнь","Июль","Август","Сентябрь","Октябрь","Ноябрь","Декабрь")&amp;" "&amp;YEAR(Служебный!$K$4)&amp;" (недель: "&amp;COUNTIFS('Досмотр по неделям'!$B$73:$B$98,"&gt;="&amp;Служебный!$K$4,'Досмотр по неделям'!$B$73:$B$98,"&lt;"&amp;Служебный!$K$3,'Досмотр по неделям'!$D$73:$D$98,"&lt;&gt;")&amp;")")</f>
        <v>Июль 2026 (недель: 4)</v>
      </c>
      <c r="C25" s="2"/>
      <c r="D25" s="2" t="str">
        <f aca="false">IF(Служебный!$K$3="","-",CHOOSE(MONTH(Служебный!$K$3),"Январь","Февраль","Март","Апрель","Май","Июнь","Июль","Август","Сентябрь","Октябрь","Ноябрь","Декабрь")&amp;" "&amp;YEAR(Служебный!$K$3)&amp;" (недель: "&amp;COUNTIFS('Досмотр по неделям'!$B$73:$B$98,"&gt;="&amp;Служебный!$K$3,'Досмотр по неделям'!$B$73:$B$98,"&lt;"&amp;Служебный!$K$5,'Досмотр по неделям'!$D$73:$D$98,"&lt;&gt;")&amp;")")</f>
        <v>Август 2026 (недель: 4)</v>
      </c>
      <c r="E25" s="2"/>
      <c r="F25" s="2" t="s">
        <v>2</v>
      </c>
      <c r="G25" s="2"/>
      <c r="H25" s="2"/>
    </row>
    <row r="26" customFormat="false" ht="30" hidden="false" customHeight="true" outlineLevel="0" collapsed="false">
      <c r="A26" s="2"/>
      <c r="B26" s="2" t="s">
        <v>4</v>
      </c>
      <c r="C26" s="2" t="s">
        <v>5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</row>
    <row r="27" customFormat="false" ht="15" hidden="false" customHeight="false" outlineLevel="0" collapsed="false">
      <c r="A27" s="4" t="s">
        <v>9</v>
      </c>
      <c r="B27" s="5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неделям'!$D$73:$D$98,'Досмотр по неделям'!$B$73:$B$98,"&gt;="&amp;Служебный!$K$4,'Досмотр по неделям'!$B$73:$B$98,"&lt;"&amp;Служебный!$K$3)))</f>
        <v>397460</v>
      </c>
      <c r="C27" s="6" t="s">
        <v>10</v>
      </c>
      <c r="D27" s="5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неделям'!$D$73:$D$98,'Досмотр по неделям'!$B$73:$B$98,"&gt;="&amp;Служебный!$K$3,'Досмотр по неделям'!$B$73:$B$98,"&lt;"&amp;Служебный!$K$5)))</f>
        <v>437400</v>
      </c>
      <c r="E27" s="6" t="s">
        <v>10</v>
      </c>
      <c r="F27" s="7" t="n">
        <f aca="false">IF(OR(B27="",D27=""),"-",D27-B27)</f>
        <v>39940</v>
      </c>
      <c r="G27" s="8" t="n">
        <f aca="false">IF(OR(B27="",D27="",B27=0),"-",D27/B27-1)</f>
        <v>0.100488099431389</v>
      </c>
      <c r="H27" s="9" t="s">
        <v>10</v>
      </c>
    </row>
    <row r="28" customFormat="false" ht="15" hidden="false" customHeight="false" outlineLevel="0" collapsed="false">
      <c r="A28" s="10" t="s">
        <v>11</v>
      </c>
      <c r="B28" s="11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неделям'!$E$73:$E$98,'Досмотр по неделям'!$B$73:$B$98,"&gt;="&amp;Служебный!$K$4,'Досмотр по неделям'!$B$73:$B$98,"&lt;"&amp;Служебный!$K$3)))</f>
        <v>21</v>
      </c>
      <c r="C28" s="12" t="n">
        <f aca="false">IF(OR(B28="",$B$27="",$B$27=0),"-",B28/$B$27)</f>
        <v>5.28355054596689E-005</v>
      </c>
      <c r="D28" s="11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неделям'!$E$73:$E$98,'Досмотр по неделям'!$B$73:$B$98,"&gt;="&amp;Служебный!$K$3,'Досмотр по неделям'!$B$73:$B$98,"&lt;"&amp;Служебный!$K$5)))</f>
        <v>28</v>
      </c>
      <c r="E28" s="12" t="n">
        <f aca="false">IF(OR(D28="",$D$27="",$D$27=0),"-",D28/$D$27)</f>
        <v>6.40146319158665E-005</v>
      </c>
      <c r="F28" s="13" t="n">
        <f aca="false">IF(OR(B28="",D28=""),"-",D28-B28)</f>
        <v>7</v>
      </c>
      <c r="G28" s="14" t="n">
        <f aca="false">IF(OR(B28="",D28="",B28=0),"-",D28/B28-1)</f>
        <v>0.333333333333333</v>
      </c>
      <c r="H28" s="15" t="n">
        <f aca="false">IF(OR(C28="-",E28="-"),"-",(E28-C28)*100)</f>
        <v>0.00111791264561976</v>
      </c>
    </row>
    <row r="29" customFormat="false" ht="15" hidden="false" customHeight="false" outlineLevel="0" collapsed="false">
      <c r="A29" s="10" t="s">
        <v>12</v>
      </c>
      <c r="B29" s="11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неделям'!$F$73:$F$98,'Досмотр по неделям'!$B$73:$B$98,"&gt;="&amp;Служебный!$K$4,'Досмотр по неделям'!$B$73:$B$98,"&lt;"&amp;Служебный!$K$3)))</f>
        <v>1547</v>
      </c>
      <c r="C29" s="16" t="n">
        <f aca="false">IF(OR(B29="",$B$27="",$B$27=0),"-",B29/$B$27)</f>
        <v>0.00389221556886228</v>
      </c>
      <c r="D29" s="11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неделям'!$F$73:$F$98,'Досмотр по неделям'!$B$73:$B$98,"&gt;="&amp;Служебный!$K$3,'Досмотр по неделям'!$B$73:$B$98,"&lt;"&amp;Служебный!$K$5)))</f>
        <v>1532</v>
      </c>
      <c r="E29" s="16" t="n">
        <f aca="false">IF(OR(D29="",$D$27="",$D$27=0),"-",D29/$D$27)</f>
        <v>0.00350251486053955</v>
      </c>
      <c r="F29" s="13" t="n">
        <f aca="false">IF(OR(B29="",D29=""),"-",D29-B29)</f>
        <v>-15</v>
      </c>
      <c r="G29" s="14" t="n">
        <f aca="false">IF(OR(B29="",D29="",B29=0),"-",D29/B29-1)</f>
        <v>-0.00969618616677437</v>
      </c>
      <c r="H29" s="17" t="n">
        <f aca="false">IF(OR(C29="-",E29="-"),"-",(E29-C29)*100)</f>
        <v>-0.0389700708322724</v>
      </c>
    </row>
    <row r="30" customFormat="false" ht="15" hidden="false" customHeight="false" outlineLevel="0" collapsed="false">
      <c r="A30" s="10" t="s">
        <v>13</v>
      </c>
      <c r="B30" s="11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неделям'!$G$73:$G$98,'Досмотр по неделям'!$B$73:$B$98,"&gt;="&amp;Служебный!$K$4,'Досмотр по неделям'!$B$73:$B$98,"&lt;"&amp;Служебный!$K$3)))</f>
        <v>774</v>
      </c>
      <c r="C30" s="16" t="n">
        <f aca="false">IF(OR(B30="",$B$27="",$B$27=0),"-",B30/$B$27)</f>
        <v>0.00194736577265637</v>
      </c>
      <c r="D30" s="11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неделям'!$G$73:$G$98,'Досмотр по неделям'!$B$73:$B$98,"&gt;="&amp;Служебный!$K$3,'Досмотр по неделям'!$B$73:$B$98,"&lt;"&amp;Служебный!$K$5)))</f>
        <v>596</v>
      </c>
      <c r="E30" s="16" t="n">
        <f aca="false">IF(OR(D30="",$D$27="",$D$27=0),"-",D30/$D$27)</f>
        <v>0.0013625971650663</v>
      </c>
      <c r="F30" s="13" t="n">
        <f aca="false">IF(OR(B30="",D30=""),"-",D30-B30)</f>
        <v>-178</v>
      </c>
      <c r="G30" s="14" t="n">
        <f aca="false">IF(OR(B30="",D30="",B30=0),"-",D30/B30-1)</f>
        <v>-0.229974160206718</v>
      </c>
      <c r="H30" s="17" t="n">
        <f aca="false">IF(OR(C30="-",E30="-"),"-",(E30-C30)*100)</f>
        <v>-0.0584768607590067</v>
      </c>
    </row>
    <row r="31" customFormat="false" ht="15" hidden="false" customHeight="false" outlineLevel="0" collapsed="false">
      <c r="A31" s="10" t="s">
        <v>14</v>
      </c>
      <c r="B31" s="11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неделям'!$H$73:$H$98,'Досмотр по неделям'!$B$73:$B$98,"&gt;="&amp;Служебный!$K$4,'Досмотр по неделям'!$B$73:$B$98,"&lt;"&amp;Служебный!$K$3)))</f>
        <v>513</v>
      </c>
      <c r="C31" s="16" t="n">
        <f aca="false">IF(OR(B31="",$B$27="",$B$27=0),"-",B31/$B$27)</f>
        <v>0.0012906959190862</v>
      </c>
      <c r="D31" s="11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неделям'!$H$73:$H$98,'Досмотр по неделям'!$B$73:$B$98,"&gt;="&amp;Служебный!$K$3,'Досмотр по неделям'!$B$73:$B$98,"&lt;"&amp;Служебный!$K$5)))</f>
        <v>524</v>
      </c>
      <c r="E31" s="16" t="n">
        <f aca="false">IF(OR(D31="",$D$27="",$D$27=0),"-",D31/$D$27)</f>
        <v>0.00119798811156836</v>
      </c>
      <c r="F31" s="13" t="n">
        <f aca="false">IF(OR(B31="",D31=""),"-",D31-B31)</f>
        <v>11</v>
      </c>
      <c r="G31" s="14" t="n">
        <f aca="false">IF(OR(B31="",D31="",B31=0),"-",D31/B31-1)</f>
        <v>0.0214424951267056</v>
      </c>
      <c r="H31" s="17" t="n">
        <f aca="false">IF(OR(C31="-",E31="-"),"-",(E31-C31)*100)</f>
        <v>-0.00927078075178389</v>
      </c>
    </row>
    <row r="32" customFormat="false" ht="15" hidden="false" customHeight="false" outlineLevel="0" collapsed="false">
      <c r="A32" s="10" t="s">
        <v>15</v>
      </c>
      <c r="B32" s="11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неделям'!$I$73:$I$98,'Досмотр по неделям'!$B$73:$B$98,"&gt;="&amp;Служебный!$K$4,'Досмотр по неделям'!$B$73:$B$98,"&lt;"&amp;Служебный!$K$3)))</f>
        <v>4</v>
      </c>
      <c r="C32" s="12" t="n">
        <f aca="false">IF(OR(B32="",$B$27="",$B$27=0),"-",B32/$B$27)</f>
        <v>1.00639058018417E-005</v>
      </c>
      <c r="D32" s="11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неделям'!$I$73:$I$98,'Досмотр по неделям'!$B$73:$B$98,"&gt;="&amp;Служебный!$K$3,'Досмотр по неделям'!$B$73:$B$98,"&lt;"&amp;Служебный!$K$5)))</f>
        <v>8</v>
      </c>
      <c r="E32" s="12" t="n">
        <f aca="false">IF(OR(D32="",$D$27="",$D$27=0),"-",D32/$D$27)</f>
        <v>1.82898948331047E-005</v>
      </c>
      <c r="F32" s="13" t="n">
        <f aca="false">IF(OR(B32="",D32=""),"-",D32-B32)</f>
        <v>4</v>
      </c>
      <c r="G32" s="14" t="n">
        <f aca="false">IF(OR(B32="",D32="",B32=0),"-",D32/B32-1)</f>
        <v>1</v>
      </c>
      <c r="H32" s="15" t="n">
        <f aca="false">IF(OR(C32="-",E32="-"),"-",(E32-C32)*100)</f>
        <v>0.000822598903126301</v>
      </c>
    </row>
    <row r="33" customFormat="false" ht="15" hidden="false" customHeight="false" outlineLevel="0" collapsed="false">
      <c r="A33" s="18" t="s">
        <v>16</v>
      </c>
      <c r="B33" s="19" t="n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неделям'!$J$73:$J$98,'Досмотр по неделям'!$B$73:$B$98,"&gt;="&amp;Служебный!$K$4,'Досмотр по неделям'!$B$73:$B$98,"&lt;"&amp;Служебный!$K$3)))</f>
        <v>2859</v>
      </c>
      <c r="C33" s="20" t="n">
        <f aca="false">IF(OR(B33="",$B$27="",$B$27=0),"-",B33/$B$27)</f>
        <v>0.00719317667186635</v>
      </c>
      <c r="D33" s="19" t="n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неделям'!$J$73:$J$98,'Досмотр по неделям'!$B$73:$B$98,"&gt;="&amp;Служебный!$K$3,'Досмотр по неделям'!$B$73:$B$98,"&lt;"&amp;Служебный!$K$5)))</f>
        <v>2688</v>
      </c>
      <c r="E33" s="20" t="n">
        <f aca="false">IF(OR(D33="",$D$27="",$D$27=0),"-",D33/$D$27)</f>
        <v>0.00614540466392318</v>
      </c>
      <c r="F33" s="21" t="n">
        <f aca="false">IF(OR(B33="",D33=""),"-",D33-B33)</f>
        <v>-171</v>
      </c>
      <c r="G33" s="22" t="n">
        <f aca="false">IF(OR(B33="",D33="",B33=0),"-",D33/B33-1)</f>
        <v>-0.0598111227701994</v>
      </c>
      <c r="H33" s="23" t="n">
        <f aca="false">IF(OR(C33="-",E33="-"),"-",(E33-C33)*100)</f>
        <v>-0.104777200794317</v>
      </c>
    </row>
    <row r="34" customFormat="false" ht="15" hidden="false" customHeight="false" outlineLevel="0" collapsed="false">
      <c r="A34" s="27" t="s">
        <v>19</v>
      </c>
    </row>
    <row r="71" customFormat="false" ht="15" hidden="false" customHeight="false" outlineLevel="0" collapsed="false">
      <c r="A71" s="1" t="s">
        <v>20</v>
      </c>
    </row>
    <row r="72" customFormat="false" ht="45" hidden="false" customHeight="true" outlineLevel="0" collapsed="false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11</v>
      </c>
      <c r="F72" s="2" t="s">
        <v>12</v>
      </c>
      <c r="G72" s="2" t="s">
        <v>13</v>
      </c>
      <c r="H72" s="2" t="s">
        <v>14</v>
      </c>
      <c r="I72" s="2" t="s">
        <v>15</v>
      </c>
      <c r="J72" s="2" t="s">
        <v>16</v>
      </c>
      <c r="K72" s="2" t="s">
        <v>25</v>
      </c>
      <c r="L72" s="2" t="s">
        <v>26</v>
      </c>
      <c r="M72" s="2" t="s">
        <v>27</v>
      </c>
      <c r="N72" s="2" t="s">
        <v>28</v>
      </c>
      <c r="O72" s="2" t="s">
        <v>29</v>
      </c>
      <c r="P72" s="2" t="s">
        <v>30</v>
      </c>
    </row>
    <row r="73" customFormat="false" ht="15" hidden="false" customHeight="false" outlineLevel="0" collapsed="false">
      <c r="A73" s="28" t="n">
        <v>1</v>
      </c>
      <c r="B73" s="29" t="n">
        <v>46209</v>
      </c>
      <c r="C73" s="30" t="n">
        <f aca="false">B73+6</f>
        <v>46215</v>
      </c>
      <c r="D73" s="31" t="n">
        <v>98597</v>
      </c>
      <c r="E73" s="31" t="n">
        <v>5</v>
      </c>
      <c r="F73" s="31" t="n">
        <v>387</v>
      </c>
      <c r="G73" s="31" t="n">
        <v>197</v>
      </c>
      <c r="H73" s="31" t="n">
        <v>128</v>
      </c>
      <c r="I73" s="31" t="n">
        <v>1</v>
      </c>
      <c r="J73" s="11" t="n">
        <f aca="false">IF(COUNT(E73:I73)=0,"",SUM(E73:I73))</f>
        <v>718</v>
      </c>
      <c r="K73" s="24" t="n">
        <f aca="false">IF(OR(D73="",E73="",D73=0),"",E73/D73)</f>
        <v>5.07114820937757E-005</v>
      </c>
      <c r="L73" s="25" t="n">
        <f aca="false">IF(OR(D73="",F73="",D73=0),"",F73/D73)</f>
        <v>0.00392506871405824</v>
      </c>
      <c r="M73" s="25" t="n">
        <f aca="false">IF(OR(D73="",G73="",D73=0),"",G73/D73)</f>
        <v>0.00199803239449476</v>
      </c>
      <c r="N73" s="25" t="n">
        <f aca="false">IF(OR(D73="",H73="",D73=0),"",H73/D73)</f>
        <v>0.00129821394160066</v>
      </c>
      <c r="O73" s="24" t="n">
        <f aca="false">IF(OR(D73="",I73="",D73=0),"",I73/D73)</f>
        <v>1.01422964187551E-005</v>
      </c>
      <c r="P73" s="25" t="n">
        <f aca="false">IF(OR(D73="",J73="",D73=0),"",J73/D73)</f>
        <v>0.00728216882866619</v>
      </c>
    </row>
    <row r="74" customFormat="false" ht="15" hidden="false" customHeight="false" outlineLevel="0" collapsed="false">
      <c r="A74" s="28" t="n">
        <v>2</v>
      </c>
      <c r="B74" s="30" t="n">
        <f aca="false">B73+7</f>
        <v>46216</v>
      </c>
      <c r="C74" s="30" t="n">
        <f aca="false">B74+6</f>
        <v>46222</v>
      </c>
      <c r="D74" s="31" t="n">
        <v>98597</v>
      </c>
      <c r="E74" s="31" t="n">
        <v>5</v>
      </c>
      <c r="F74" s="31" t="n">
        <v>387</v>
      </c>
      <c r="G74" s="31" t="n">
        <v>197</v>
      </c>
      <c r="H74" s="31" t="n">
        <v>128</v>
      </c>
      <c r="I74" s="31" t="n">
        <v>1</v>
      </c>
      <c r="J74" s="11" t="n">
        <f aca="false">IF(COUNT(E74:I74)=0,"",SUM(E74:I74))</f>
        <v>718</v>
      </c>
      <c r="K74" s="24" t="n">
        <f aca="false">IF(OR(D74="",E74="",D74=0),"",E74/D74)</f>
        <v>5.07114820937757E-005</v>
      </c>
      <c r="L74" s="25" t="n">
        <f aca="false">IF(OR(D74="",F74="",D74=0),"",F74/D74)</f>
        <v>0.00392506871405824</v>
      </c>
      <c r="M74" s="25" t="n">
        <f aca="false">IF(OR(D74="",G74="",D74=0),"",G74/D74)</f>
        <v>0.00199803239449476</v>
      </c>
      <c r="N74" s="25" t="n">
        <f aca="false">IF(OR(D74="",H74="",D74=0),"",H74/D74)</f>
        <v>0.00129821394160066</v>
      </c>
      <c r="O74" s="24" t="n">
        <f aca="false">IF(OR(D74="",I74="",D74=0),"",I74/D74)</f>
        <v>1.01422964187551E-005</v>
      </c>
      <c r="P74" s="25" t="n">
        <f aca="false">IF(OR(D74="",J74="",D74=0),"",J74/D74)</f>
        <v>0.00728216882866619</v>
      </c>
    </row>
    <row r="75" customFormat="false" ht="15" hidden="false" customHeight="false" outlineLevel="0" collapsed="false">
      <c r="A75" s="28" t="n">
        <v>3</v>
      </c>
      <c r="B75" s="30" t="n">
        <f aca="false">B74+7</f>
        <v>46223</v>
      </c>
      <c r="C75" s="30" t="n">
        <f aca="false">B75+6</f>
        <v>46229</v>
      </c>
      <c r="D75" s="31" t="n">
        <v>98597</v>
      </c>
      <c r="E75" s="31" t="n">
        <v>5</v>
      </c>
      <c r="F75" s="31" t="n">
        <v>387</v>
      </c>
      <c r="G75" s="31" t="n">
        <v>197</v>
      </c>
      <c r="H75" s="31" t="n">
        <v>128</v>
      </c>
      <c r="I75" s="31" t="n">
        <v>1</v>
      </c>
      <c r="J75" s="11" t="n">
        <f aca="false">IF(COUNT(E75:I75)=0,"",SUM(E75:I75))</f>
        <v>718</v>
      </c>
      <c r="K75" s="24" t="n">
        <f aca="false">IF(OR(D75="",E75="",D75=0),"",E75/D75)</f>
        <v>5.07114820937757E-005</v>
      </c>
      <c r="L75" s="25" t="n">
        <f aca="false">IF(OR(D75="",F75="",D75=0),"",F75/D75)</f>
        <v>0.00392506871405824</v>
      </c>
      <c r="M75" s="25" t="n">
        <f aca="false">IF(OR(D75="",G75="",D75=0),"",G75/D75)</f>
        <v>0.00199803239449476</v>
      </c>
      <c r="N75" s="25" t="n">
        <f aca="false">IF(OR(D75="",H75="",D75=0),"",H75/D75)</f>
        <v>0.00129821394160066</v>
      </c>
      <c r="O75" s="24" t="n">
        <f aca="false">IF(OR(D75="",I75="",D75=0),"",I75/D75)</f>
        <v>1.01422964187551E-005</v>
      </c>
      <c r="P75" s="25" t="n">
        <f aca="false">IF(OR(D75="",J75="",D75=0),"",J75/D75)</f>
        <v>0.00728216882866619</v>
      </c>
    </row>
    <row r="76" customFormat="false" ht="15" hidden="false" customHeight="false" outlineLevel="0" collapsed="false">
      <c r="A76" s="28" t="n">
        <v>4</v>
      </c>
      <c r="B76" s="30" t="n">
        <f aca="false">B75+7</f>
        <v>46230</v>
      </c>
      <c r="C76" s="30" t="n">
        <f aca="false">B76+6</f>
        <v>46236</v>
      </c>
      <c r="D76" s="31" t="n">
        <v>101669</v>
      </c>
      <c r="E76" s="31" t="n">
        <v>6</v>
      </c>
      <c r="F76" s="31" t="n">
        <v>386</v>
      </c>
      <c r="G76" s="31" t="n">
        <v>183</v>
      </c>
      <c r="H76" s="31" t="n">
        <v>129</v>
      </c>
      <c r="I76" s="31" t="n">
        <v>1</v>
      </c>
      <c r="J76" s="11" t="n">
        <f aca="false">IF(COUNT(E76:I76)=0,"",SUM(E76:I76))</f>
        <v>705</v>
      </c>
      <c r="K76" s="24" t="n">
        <f aca="false">IF(OR(D76="",E76="",D76=0),"",E76/D76)</f>
        <v>5.90150389991049E-005</v>
      </c>
      <c r="L76" s="25" t="n">
        <f aca="false">IF(OR(D76="",F76="",D76=0),"",F76/D76)</f>
        <v>0.00379663417560908</v>
      </c>
      <c r="M76" s="25" t="n">
        <f aca="false">IF(OR(D76="",G76="",D76=0),"",G76/D76)</f>
        <v>0.0017999586894727</v>
      </c>
      <c r="N76" s="25" t="n">
        <f aca="false">IF(OR(D76="",H76="",D76=0),"",H76/D76)</f>
        <v>0.00126882333848076</v>
      </c>
      <c r="O76" s="24" t="n">
        <f aca="false">IF(OR(D76="",I76="",D76=0),"",I76/D76)</f>
        <v>9.83583983318416E-006</v>
      </c>
      <c r="P76" s="25" t="n">
        <f aca="false">IF(OR(D76="",J76="",D76=0),"",J76/D76)</f>
        <v>0.00693426708239483</v>
      </c>
    </row>
    <row r="77" customFormat="false" ht="15" hidden="false" customHeight="false" outlineLevel="0" collapsed="false">
      <c r="A77" s="28" t="n">
        <v>5</v>
      </c>
      <c r="B77" s="30" t="n">
        <f aca="false">B76+7</f>
        <v>46237</v>
      </c>
      <c r="C77" s="30" t="n">
        <f aca="false">B77+6</f>
        <v>46243</v>
      </c>
      <c r="D77" s="31" t="n">
        <v>109350</v>
      </c>
      <c r="E77" s="31" t="n">
        <v>7</v>
      </c>
      <c r="F77" s="31" t="n">
        <v>383</v>
      </c>
      <c r="G77" s="31" t="n">
        <v>149</v>
      </c>
      <c r="H77" s="31" t="n">
        <v>131</v>
      </c>
      <c r="I77" s="31" t="n">
        <v>2</v>
      </c>
      <c r="J77" s="11" t="n">
        <f aca="false">IF(COUNT(E77:I77)=0,"",SUM(E77:I77))</f>
        <v>672</v>
      </c>
      <c r="K77" s="24" t="n">
        <f aca="false">IF(OR(D77="",E77="",D77=0),"",E77/D77)</f>
        <v>6.40146319158665E-005</v>
      </c>
      <c r="L77" s="25" t="n">
        <f aca="false">IF(OR(D77="",F77="",D77=0),"",F77/D77)</f>
        <v>0.00350251486053955</v>
      </c>
      <c r="M77" s="25" t="n">
        <f aca="false">IF(OR(D77="",G77="",D77=0),"",G77/D77)</f>
        <v>0.0013625971650663</v>
      </c>
      <c r="N77" s="25" t="n">
        <f aca="false">IF(OR(D77="",H77="",D77=0),"",H77/D77)</f>
        <v>0.00119798811156836</v>
      </c>
      <c r="O77" s="24" t="n">
        <f aca="false">IF(OR(D77="",I77="",D77=0),"",I77/D77)</f>
        <v>1.82898948331047E-005</v>
      </c>
      <c r="P77" s="25" t="n">
        <f aca="false">IF(OR(D77="",J77="",D77=0),"",J77/D77)</f>
        <v>0.00614540466392318</v>
      </c>
    </row>
    <row r="78" customFormat="false" ht="15" hidden="false" customHeight="false" outlineLevel="0" collapsed="false">
      <c r="A78" s="28" t="n">
        <v>6</v>
      </c>
      <c r="B78" s="30" t="n">
        <f aca="false">B77+7</f>
        <v>46244</v>
      </c>
      <c r="C78" s="30" t="n">
        <f aca="false">B78+6</f>
        <v>46250</v>
      </c>
      <c r="D78" s="31" t="n">
        <v>109350</v>
      </c>
      <c r="E78" s="31" t="n">
        <v>7</v>
      </c>
      <c r="F78" s="31" t="n">
        <v>383</v>
      </c>
      <c r="G78" s="31" t="n">
        <v>149</v>
      </c>
      <c r="H78" s="31" t="n">
        <v>131</v>
      </c>
      <c r="I78" s="31" t="n">
        <v>2</v>
      </c>
      <c r="J78" s="11" t="n">
        <f aca="false">IF(COUNT(E78:I78)=0,"",SUM(E78:I78))</f>
        <v>672</v>
      </c>
      <c r="K78" s="24" t="n">
        <f aca="false">IF(OR(D78="",E78="",D78=0),"",E78/D78)</f>
        <v>6.40146319158665E-005</v>
      </c>
      <c r="L78" s="25" t="n">
        <f aca="false">IF(OR(D78="",F78="",D78=0),"",F78/D78)</f>
        <v>0.00350251486053955</v>
      </c>
      <c r="M78" s="25" t="n">
        <f aca="false">IF(OR(D78="",G78="",D78=0),"",G78/D78)</f>
        <v>0.0013625971650663</v>
      </c>
      <c r="N78" s="25" t="n">
        <f aca="false">IF(OR(D78="",H78="",D78=0),"",H78/D78)</f>
        <v>0.00119798811156836</v>
      </c>
      <c r="O78" s="24" t="n">
        <f aca="false">IF(OR(D78="",I78="",D78=0),"",I78/D78)</f>
        <v>1.82898948331047E-005</v>
      </c>
      <c r="P78" s="25" t="n">
        <f aca="false">IF(OR(D78="",J78="",D78=0),"",J78/D78)</f>
        <v>0.00614540466392318</v>
      </c>
    </row>
    <row r="79" customFormat="false" ht="15" hidden="false" customHeight="false" outlineLevel="0" collapsed="false">
      <c r="A79" s="28" t="n">
        <v>7</v>
      </c>
      <c r="B79" s="30" t="n">
        <f aca="false">B78+7</f>
        <v>46251</v>
      </c>
      <c r="C79" s="30" t="n">
        <f aca="false">B79+6</f>
        <v>46257</v>
      </c>
      <c r="D79" s="31" t="n">
        <v>109350</v>
      </c>
      <c r="E79" s="31" t="n">
        <v>7</v>
      </c>
      <c r="F79" s="31" t="n">
        <v>383</v>
      </c>
      <c r="G79" s="31" t="n">
        <v>149</v>
      </c>
      <c r="H79" s="31" t="n">
        <v>131</v>
      </c>
      <c r="I79" s="31" t="n">
        <v>2</v>
      </c>
      <c r="J79" s="11" t="n">
        <f aca="false">IF(COUNT(E79:I79)=0,"",SUM(E79:I79))</f>
        <v>672</v>
      </c>
      <c r="K79" s="24" t="n">
        <f aca="false">IF(OR(D79="",E79="",D79=0),"",E79/D79)</f>
        <v>6.40146319158665E-005</v>
      </c>
      <c r="L79" s="25" t="n">
        <f aca="false">IF(OR(D79="",F79="",D79=0),"",F79/D79)</f>
        <v>0.00350251486053955</v>
      </c>
      <c r="M79" s="25" t="n">
        <f aca="false">IF(OR(D79="",G79="",D79=0),"",G79/D79)</f>
        <v>0.0013625971650663</v>
      </c>
      <c r="N79" s="25" t="n">
        <f aca="false">IF(OR(D79="",H79="",D79=0),"",H79/D79)</f>
        <v>0.00119798811156836</v>
      </c>
      <c r="O79" s="24" t="n">
        <f aca="false">IF(OR(D79="",I79="",D79=0),"",I79/D79)</f>
        <v>1.82898948331047E-005</v>
      </c>
      <c r="P79" s="25" t="n">
        <f aca="false">IF(OR(D79="",J79="",D79=0),"",J79/D79)</f>
        <v>0.00614540466392318</v>
      </c>
    </row>
    <row r="80" customFormat="false" ht="15" hidden="false" customHeight="false" outlineLevel="0" collapsed="false">
      <c r="A80" s="28" t="n">
        <v>8</v>
      </c>
      <c r="B80" s="30" t="n">
        <f aca="false">B79+7</f>
        <v>46258</v>
      </c>
      <c r="C80" s="30" t="n">
        <f aca="false">B80+6</f>
        <v>46264</v>
      </c>
      <c r="D80" s="31" t="n">
        <v>109350</v>
      </c>
      <c r="E80" s="31" t="n">
        <v>7</v>
      </c>
      <c r="F80" s="31" t="n">
        <v>383</v>
      </c>
      <c r="G80" s="31" t="n">
        <v>149</v>
      </c>
      <c r="H80" s="31" t="n">
        <v>131</v>
      </c>
      <c r="I80" s="31" t="n">
        <v>2</v>
      </c>
      <c r="J80" s="11" t="n">
        <f aca="false">IF(COUNT(E80:I80)=0,"",SUM(E80:I80))</f>
        <v>672</v>
      </c>
      <c r="K80" s="24" t="n">
        <f aca="false">IF(OR(D80="",E80="",D80=0),"",E80/D80)</f>
        <v>6.40146319158665E-005</v>
      </c>
      <c r="L80" s="25" t="n">
        <f aca="false">IF(OR(D80="",F80="",D80=0),"",F80/D80)</f>
        <v>0.00350251486053955</v>
      </c>
      <c r="M80" s="25" t="n">
        <f aca="false">IF(OR(D80="",G80="",D80=0),"",G80/D80)</f>
        <v>0.0013625971650663</v>
      </c>
      <c r="N80" s="25" t="n">
        <f aca="false">IF(OR(D80="",H80="",D80=0),"",H80/D80)</f>
        <v>0.00119798811156836</v>
      </c>
      <c r="O80" s="24" t="n">
        <f aca="false">IF(OR(D80="",I80="",D80=0),"",I80/D80)</f>
        <v>1.82898948331047E-005</v>
      </c>
      <c r="P80" s="25" t="n">
        <f aca="false">IF(OR(D80="",J80="",D80=0),"",J80/D80)</f>
        <v>0.00614540466392318</v>
      </c>
    </row>
    <row r="81" customFormat="false" ht="15" hidden="false" customHeight="false" outlineLevel="0" collapsed="false">
      <c r="A81" s="28" t="n">
        <v>9</v>
      </c>
      <c r="B81" s="30" t="n">
        <f aca="false">B80+7</f>
        <v>46265</v>
      </c>
      <c r="C81" s="30" t="n">
        <f aca="false">B81+6</f>
        <v>46271</v>
      </c>
      <c r="D81" s="31"/>
      <c r="E81" s="31"/>
      <c r="F81" s="31"/>
      <c r="G81" s="31"/>
      <c r="H81" s="31"/>
      <c r="I81" s="31"/>
      <c r="J81" s="11" t="str">
        <f aca="false">IF(COUNT(E81:I81)=0,"",SUM(E81:I81))</f>
        <v/>
      </c>
      <c r="K81" s="24" t="str">
        <f aca="false">IF(OR(D81="",E81="",D81=0),"",E81/D81)</f>
        <v/>
      </c>
      <c r="L81" s="25" t="str">
        <f aca="false">IF(OR(D81="",F81="",D81=0),"",F81/D81)</f>
        <v/>
      </c>
      <c r="M81" s="25" t="str">
        <f aca="false">IF(OR(D81="",G81="",D81=0),"",G81/D81)</f>
        <v/>
      </c>
      <c r="N81" s="25" t="str">
        <f aca="false">IF(OR(D81="",H81="",D81=0),"",H81/D81)</f>
        <v/>
      </c>
      <c r="O81" s="24" t="str">
        <f aca="false">IF(OR(D81="",I81="",D81=0),"",I81/D81)</f>
        <v/>
      </c>
      <c r="P81" s="25" t="str">
        <f aca="false">IF(OR(D81="",J81="",D81=0),"",J81/D81)</f>
        <v/>
      </c>
    </row>
    <row r="82" customFormat="false" ht="15" hidden="false" customHeight="false" outlineLevel="0" collapsed="false">
      <c r="A82" s="28" t="n">
        <v>10</v>
      </c>
      <c r="B82" s="30" t="n">
        <f aca="false">B81+7</f>
        <v>46272</v>
      </c>
      <c r="C82" s="30" t="n">
        <f aca="false">B82+6</f>
        <v>46278</v>
      </c>
      <c r="D82" s="31"/>
      <c r="E82" s="31"/>
      <c r="F82" s="31"/>
      <c r="G82" s="31"/>
      <c r="H82" s="31"/>
      <c r="I82" s="31"/>
      <c r="J82" s="11" t="str">
        <f aca="false">IF(COUNT(E82:I82)=0,"",SUM(E82:I82))</f>
        <v/>
      </c>
      <c r="K82" s="24" t="str">
        <f aca="false">IF(OR(D82="",E82="",D82=0),"",E82/D82)</f>
        <v/>
      </c>
      <c r="L82" s="25" t="str">
        <f aca="false">IF(OR(D82="",F82="",D82=0),"",F82/D82)</f>
        <v/>
      </c>
      <c r="M82" s="25" t="str">
        <f aca="false">IF(OR(D82="",G82="",D82=0),"",G82/D82)</f>
        <v/>
      </c>
      <c r="N82" s="25" t="str">
        <f aca="false">IF(OR(D82="",H82="",D82=0),"",H82/D82)</f>
        <v/>
      </c>
      <c r="O82" s="24" t="str">
        <f aca="false">IF(OR(D82="",I82="",D82=0),"",I82/D82)</f>
        <v/>
      </c>
      <c r="P82" s="25" t="str">
        <f aca="false">IF(OR(D82="",J82="",D82=0),"",J82/D82)</f>
        <v/>
      </c>
    </row>
    <row r="83" customFormat="false" ht="15" hidden="false" customHeight="false" outlineLevel="0" collapsed="false">
      <c r="A83" s="28" t="n">
        <v>11</v>
      </c>
      <c r="B83" s="30" t="n">
        <f aca="false">B82+7</f>
        <v>46279</v>
      </c>
      <c r="C83" s="30" t="n">
        <f aca="false">B83+6</f>
        <v>46285</v>
      </c>
      <c r="D83" s="31"/>
      <c r="E83" s="31"/>
      <c r="F83" s="31"/>
      <c r="G83" s="31"/>
      <c r="H83" s="31"/>
      <c r="I83" s="31"/>
      <c r="J83" s="11" t="str">
        <f aca="false">IF(COUNT(E83:I83)=0,"",SUM(E83:I83))</f>
        <v/>
      </c>
      <c r="K83" s="24" t="str">
        <f aca="false">IF(OR(D83="",E83="",D83=0),"",E83/D83)</f>
        <v/>
      </c>
      <c r="L83" s="25" t="str">
        <f aca="false">IF(OR(D83="",F83="",D83=0),"",F83/D83)</f>
        <v/>
      </c>
      <c r="M83" s="25" t="str">
        <f aca="false">IF(OR(D83="",G83="",D83=0),"",G83/D83)</f>
        <v/>
      </c>
      <c r="N83" s="25" t="str">
        <f aca="false">IF(OR(D83="",H83="",D83=0),"",H83/D83)</f>
        <v/>
      </c>
      <c r="O83" s="24" t="str">
        <f aca="false">IF(OR(D83="",I83="",D83=0),"",I83/D83)</f>
        <v/>
      </c>
      <c r="P83" s="25" t="str">
        <f aca="false">IF(OR(D83="",J83="",D83=0),"",J83/D83)</f>
        <v/>
      </c>
    </row>
    <row r="84" customFormat="false" ht="15" hidden="false" customHeight="false" outlineLevel="0" collapsed="false">
      <c r="A84" s="28" t="n">
        <v>12</v>
      </c>
      <c r="B84" s="30" t="n">
        <f aca="false">B83+7</f>
        <v>46286</v>
      </c>
      <c r="C84" s="30" t="n">
        <f aca="false">B84+6</f>
        <v>46292</v>
      </c>
      <c r="D84" s="31"/>
      <c r="E84" s="31"/>
      <c r="F84" s="31"/>
      <c r="G84" s="31"/>
      <c r="H84" s="31"/>
      <c r="I84" s="31"/>
      <c r="J84" s="11" t="str">
        <f aca="false">IF(COUNT(E84:I84)=0,"",SUM(E84:I84))</f>
        <v/>
      </c>
      <c r="K84" s="24" t="str">
        <f aca="false">IF(OR(D84="",E84="",D84=0),"",E84/D84)</f>
        <v/>
      </c>
      <c r="L84" s="25" t="str">
        <f aca="false">IF(OR(D84="",F84="",D84=0),"",F84/D84)</f>
        <v/>
      </c>
      <c r="M84" s="25" t="str">
        <f aca="false">IF(OR(D84="",G84="",D84=0),"",G84/D84)</f>
        <v/>
      </c>
      <c r="N84" s="25" t="str">
        <f aca="false">IF(OR(D84="",H84="",D84=0),"",H84/D84)</f>
        <v/>
      </c>
      <c r="O84" s="24" t="str">
        <f aca="false">IF(OR(D84="",I84="",D84=0),"",I84/D84)</f>
        <v/>
      </c>
      <c r="P84" s="25" t="str">
        <f aca="false">IF(OR(D84="",J84="",D84=0),"",J84/D84)</f>
        <v/>
      </c>
    </row>
    <row r="85" customFormat="false" ht="15" hidden="false" customHeight="false" outlineLevel="0" collapsed="false">
      <c r="A85" s="28" t="n">
        <v>13</v>
      </c>
      <c r="B85" s="30" t="n">
        <f aca="false">B84+7</f>
        <v>46293</v>
      </c>
      <c r="C85" s="30" t="n">
        <f aca="false">B85+6</f>
        <v>46299</v>
      </c>
      <c r="D85" s="31"/>
      <c r="E85" s="31"/>
      <c r="F85" s="31"/>
      <c r="G85" s="31"/>
      <c r="H85" s="31"/>
      <c r="I85" s="31"/>
      <c r="J85" s="11" t="str">
        <f aca="false">IF(COUNT(E85:I85)=0,"",SUM(E85:I85))</f>
        <v/>
      </c>
      <c r="K85" s="24" t="str">
        <f aca="false">IF(OR(D85="",E85="",D85=0),"",E85/D85)</f>
        <v/>
      </c>
      <c r="L85" s="25" t="str">
        <f aca="false">IF(OR(D85="",F85="",D85=0),"",F85/D85)</f>
        <v/>
      </c>
      <c r="M85" s="25" t="str">
        <f aca="false">IF(OR(D85="",G85="",D85=0),"",G85/D85)</f>
        <v/>
      </c>
      <c r="N85" s="25" t="str">
        <f aca="false">IF(OR(D85="",H85="",D85=0),"",H85/D85)</f>
        <v/>
      </c>
      <c r="O85" s="24" t="str">
        <f aca="false">IF(OR(D85="",I85="",D85=0),"",I85/D85)</f>
        <v/>
      </c>
      <c r="P85" s="25" t="str">
        <f aca="false">IF(OR(D85="",J85="",D85=0),"",J85/D85)</f>
        <v/>
      </c>
    </row>
    <row r="86" customFormat="false" ht="15" hidden="false" customHeight="false" outlineLevel="0" collapsed="false">
      <c r="A86" s="28" t="n">
        <v>14</v>
      </c>
      <c r="B86" s="30" t="n">
        <f aca="false">B85+7</f>
        <v>46300</v>
      </c>
      <c r="C86" s="30" t="n">
        <f aca="false">B86+6</f>
        <v>46306</v>
      </c>
      <c r="D86" s="31"/>
      <c r="E86" s="31"/>
      <c r="F86" s="31"/>
      <c r="G86" s="31"/>
      <c r="H86" s="31"/>
      <c r="I86" s="31"/>
      <c r="J86" s="11" t="str">
        <f aca="false">IF(COUNT(E86:I86)=0,"",SUM(E86:I86))</f>
        <v/>
      </c>
      <c r="K86" s="24" t="str">
        <f aca="false">IF(OR(D86="",E86="",D86=0),"",E86/D86)</f>
        <v/>
      </c>
      <c r="L86" s="25" t="str">
        <f aca="false">IF(OR(D86="",F86="",D86=0),"",F86/D86)</f>
        <v/>
      </c>
      <c r="M86" s="25" t="str">
        <f aca="false">IF(OR(D86="",G86="",D86=0),"",G86/D86)</f>
        <v/>
      </c>
      <c r="N86" s="25" t="str">
        <f aca="false">IF(OR(D86="",H86="",D86=0),"",H86/D86)</f>
        <v/>
      </c>
      <c r="O86" s="24" t="str">
        <f aca="false">IF(OR(D86="",I86="",D86=0),"",I86/D86)</f>
        <v/>
      </c>
      <c r="P86" s="25" t="str">
        <f aca="false">IF(OR(D86="",J86="",D86=0),"",J86/D86)</f>
        <v/>
      </c>
    </row>
    <row r="87" customFormat="false" ht="15" hidden="false" customHeight="false" outlineLevel="0" collapsed="false">
      <c r="A87" s="28" t="n">
        <v>15</v>
      </c>
      <c r="B87" s="30" t="n">
        <f aca="false">B86+7</f>
        <v>46307</v>
      </c>
      <c r="C87" s="30" t="n">
        <f aca="false">B87+6</f>
        <v>46313</v>
      </c>
      <c r="D87" s="31"/>
      <c r="E87" s="31"/>
      <c r="F87" s="31"/>
      <c r="G87" s="31"/>
      <c r="H87" s="31"/>
      <c r="I87" s="31"/>
      <c r="J87" s="11" t="str">
        <f aca="false">IF(COUNT(E87:I87)=0,"",SUM(E87:I87))</f>
        <v/>
      </c>
      <c r="K87" s="24" t="str">
        <f aca="false">IF(OR(D87="",E87="",D87=0),"",E87/D87)</f>
        <v/>
      </c>
      <c r="L87" s="25" t="str">
        <f aca="false">IF(OR(D87="",F87="",D87=0),"",F87/D87)</f>
        <v/>
      </c>
      <c r="M87" s="25" t="str">
        <f aca="false">IF(OR(D87="",G87="",D87=0),"",G87/D87)</f>
        <v/>
      </c>
      <c r="N87" s="25" t="str">
        <f aca="false">IF(OR(D87="",H87="",D87=0),"",H87/D87)</f>
        <v/>
      </c>
      <c r="O87" s="24" t="str">
        <f aca="false">IF(OR(D87="",I87="",D87=0),"",I87/D87)</f>
        <v/>
      </c>
      <c r="P87" s="25" t="str">
        <f aca="false">IF(OR(D87="",J87="",D87=0),"",J87/D87)</f>
        <v/>
      </c>
    </row>
    <row r="88" customFormat="false" ht="15" hidden="false" customHeight="false" outlineLevel="0" collapsed="false">
      <c r="A88" s="28" t="n">
        <v>16</v>
      </c>
      <c r="B88" s="30" t="n">
        <f aca="false">B87+7</f>
        <v>46314</v>
      </c>
      <c r="C88" s="30" t="n">
        <f aca="false">B88+6</f>
        <v>46320</v>
      </c>
      <c r="D88" s="31"/>
      <c r="E88" s="31"/>
      <c r="F88" s="31"/>
      <c r="G88" s="31"/>
      <c r="H88" s="31"/>
      <c r="I88" s="31"/>
      <c r="J88" s="11" t="str">
        <f aca="false">IF(COUNT(E88:I88)=0,"",SUM(E88:I88))</f>
        <v/>
      </c>
      <c r="K88" s="24" t="str">
        <f aca="false">IF(OR(D88="",E88="",D88=0),"",E88/D88)</f>
        <v/>
      </c>
      <c r="L88" s="25" t="str">
        <f aca="false">IF(OR(D88="",F88="",D88=0),"",F88/D88)</f>
        <v/>
      </c>
      <c r="M88" s="25" t="str">
        <f aca="false">IF(OR(D88="",G88="",D88=0),"",G88/D88)</f>
        <v/>
      </c>
      <c r="N88" s="25" t="str">
        <f aca="false">IF(OR(D88="",H88="",D88=0),"",H88/D88)</f>
        <v/>
      </c>
      <c r="O88" s="24" t="str">
        <f aca="false">IF(OR(D88="",I88="",D88=0),"",I88/D88)</f>
        <v/>
      </c>
      <c r="P88" s="25" t="str">
        <f aca="false">IF(OR(D88="",J88="",D88=0),"",J88/D88)</f>
        <v/>
      </c>
    </row>
    <row r="89" customFormat="false" ht="15" hidden="false" customHeight="false" outlineLevel="0" collapsed="false">
      <c r="A89" s="28" t="n">
        <v>17</v>
      </c>
      <c r="B89" s="30" t="n">
        <f aca="false">B88+7</f>
        <v>46321</v>
      </c>
      <c r="C89" s="30" t="n">
        <f aca="false">B89+6</f>
        <v>46327</v>
      </c>
      <c r="D89" s="31"/>
      <c r="E89" s="31"/>
      <c r="F89" s="31"/>
      <c r="G89" s="31"/>
      <c r="H89" s="31"/>
      <c r="I89" s="31"/>
      <c r="J89" s="11" t="str">
        <f aca="false">IF(COUNT(E89:I89)=0,"",SUM(E89:I89))</f>
        <v/>
      </c>
      <c r="K89" s="24" t="str">
        <f aca="false">IF(OR(D89="",E89="",D89=0),"",E89/D89)</f>
        <v/>
      </c>
      <c r="L89" s="25" t="str">
        <f aca="false">IF(OR(D89="",F89="",D89=0),"",F89/D89)</f>
        <v/>
      </c>
      <c r="M89" s="25" t="str">
        <f aca="false">IF(OR(D89="",G89="",D89=0),"",G89/D89)</f>
        <v/>
      </c>
      <c r="N89" s="25" t="str">
        <f aca="false">IF(OR(D89="",H89="",D89=0),"",H89/D89)</f>
        <v/>
      </c>
      <c r="O89" s="24" t="str">
        <f aca="false">IF(OR(D89="",I89="",D89=0),"",I89/D89)</f>
        <v/>
      </c>
      <c r="P89" s="25" t="str">
        <f aca="false">IF(OR(D89="",J89="",D89=0),"",J89/D89)</f>
        <v/>
      </c>
    </row>
    <row r="90" customFormat="false" ht="15" hidden="false" customHeight="false" outlineLevel="0" collapsed="false">
      <c r="A90" s="28" t="n">
        <v>18</v>
      </c>
      <c r="B90" s="30" t="n">
        <f aca="false">B89+7</f>
        <v>46328</v>
      </c>
      <c r="C90" s="30" t="n">
        <f aca="false">B90+6</f>
        <v>46334</v>
      </c>
      <c r="D90" s="31"/>
      <c r="E90" s="31"/>
      <c r="F90" s="31"/>
      <c r="G90" s="31"/>
      <c r="H90" s="31"/>
      <c r="I90" s="31"/>
      <c r="J90" s="11" t="str">
        <f aca="false">IF(COUNT(E90:I90)=0,"",SUM(E90:I90))</f>
        <v/>
      </c>
      <c r="K90" s="24" t="str">
        <f aca="false">IF(OR(D90="",E90="",D90=0),"",E90/D90)</f>
        <v/>
      </c>
      <c r="L90" s="25" t="str">
        <f aca="false">IF(OR(D90="",F90="",D90=0),"",F90/D90)</f>
        <v/>
      </c>
      <c r="M90" s="25" t="str">
        <f aca="false">IF(OR(D90="",G90="",D90=0),"",G90/D90)</f>
        <v/>
      </c>
      <c r="N90" s="25" t="str">
        <f aca="false">IF(OR(D90="",H90="",D90=0),"",H90/D90)</f>
        <v/>
      </c>
      <c r="O90" s="24" t="str">
        <f aca="false">IF(OR(D90="",I90="",D90=0),"",I90/D90)</f>
        <v/>
      </c>
      <c r="P90" s="25" t="str">
        <f aca="false">IF(OR(D90="",J90="",D90=0),"",J90/D90)</f>
        <v/>
      </c>
    </row>
    <row r="91" customFormat="false" ht="15" hidden="false" customHeight="false" outlineLevel="0" collapsed="false">
      <c r="A91" s="28" t="n">
        <v>19</v>
      </c>
      <c r="B91" s="30" t="n">
        <f aca="false">B90+7</f>
        <v>46335</v>
      </c>
      <c r="C91" s="30" t="n">
        <f aca="false">B91+6</f>
        <v>46341</v>
      </c>
      <c r="D91" s="31"/>
      <c r="E91" s="31"/>
      <c r="F91" s="31"/>
      <c r="G91" s="31"/>
      <c r="H91" s="31"/>
      <c r="I91" s="31"/>
      <c r="J91" s="11" t="str">
        <f aca="false">IF(COUNT(E91:I91)=0,"",SUM(E91:I91))</f>
        <v/>
      </c>
      <c r="K91" s="24" t="str">
        <f aca="false">IF(OR(D91="",E91="",D91=0),"",E91/D91)</f>
        <v/>
      </c>
      <c r="L91" s="25" t="str">
        <f aca="false">IF(OR(D91="",F91="",D91=0),"",F91/D91)</f>
        <v/>
      </c>
      <c r="M91" s="25" t="str">
        <f aca="false">IF(OR(D91="",G91="",D91=0),"",G91/D91)</f>
        <v/>
      </c>
      <c r="N91" s="25" t="str">
        <f aca="false">IF(OR(D91="",H91="",D91=0),"",H91/D91)</f>
        <v/>
      </c>
      <c r="O91" s="24" t="str">
        <f aca="false">IF(OR(D91="",I91="",D91=0),"",I91/D91)</f>
        <v/>
      </c>
      <c r="P91" s="25" t="str">
        <f aca="false">IF(OR(D91="",J91="",D91=0),"",J91/D91)</f>
        <v/>
      </c>
    </row>
    <row r="92" customFormat="false" ht="15" hidden="false" customHeight="false" outlineLevel="0" collapsed="false">
      <c r="A92" s="28" t="n">
        <v>20</v>
      </c>
      <c r="B92" s="30" t="n">
        <f aca="false">B91+7</f>
        <v>46342</v>
      </c>
      <c r="C92" s="30" t="n">
        <f aca="false">B92+6</f>
        <v>46348</v>
      </c>
      <c r="D92" s="31"/>
      <c r="E92" s="31"/>
      <c r="F92" s="31"/>
      <c r="G92" s="31"/>
      <c r="H92" s="31"/>
      <c r="I92" s="31"/>
      <c r="J92" s="11" t="str">
        <f aca="false">IF(COUNT(E92:I92)=0,"",SUM(E92:I92))</f>
        <v/>
      </c>
      <c r="K92" s="24" t="str">
        <f aca="false">IF(OR(D92="",E92="",D92=0),"",E92/D92)</f>
        <v/>
      </c>
      <c r="L92" s="25" t="str">
        <f aca="false">IF(OR(D92="",F92="",D92=0),"",F92/D92)</f>
        <v/>
      </c>
      <c r="M92" s="25" t="str">
        <f aca="false">IF(OR(D92="",G92="",D92=0),"",G92/D92)</f>
        <v/>
      </c>
      <c r="N92" s="25" t="str">
        <f aca="false">IF(OR(D92="",H92="",D92=0),"",H92/D92)</f>
        <v/>
      </c>
      <c r="O92" s="24" t="str">
        <f aca="false">IF(OR(D92="",I92="",D92=0),"",I92/D92)</f>
        <v/>
      </c>
      <c r="P92" s="25" t="str">
        <f aca="false">IF(OR(D92="",J92="",D92=0),"",J92/D92)</f>
        <v/>
      </c>
    </row>
    <row r="93" customFormat="false" ht="15" hidden="false" customHeight="false" outlineLevel="0" collapsed="false">
      <c r="A93" s="28" t="n">
        <v>21</v>
      </c>
      <c r="B93" s="30" t="n">
        <f aca="false">B92+7</f>
        <v>46349</v>
      </c>
      <c r="C93" s="30" t="n">
        <f aca="false">B93+6</f>
        <v>46355</v>
      </c>
      <c r="D93" s="31"/>
      <c r="E93" s="31"/>
      <c r="F93" s="31"/>
      <c r="G93" s="31"/>
      <c r="H93" s="31"/>
      <c r="I93" s="31"/>
      <c r="J93" s="11" t="str">
        <f aca="false">IF(COUNT(E93:I93)=0,"",SUM(E93:I93))</f>
        <v/>
      </c>
      <c r="K93" s="24" t="str">
        <f aca="false">IF(OR(D93="",E93="",D93=0),"",E93/D93)</f>
        <v/>
      </c>
      <c r="L93" s="25" t="str">
        <f aca="false">IF(OR(D93="",F93="",D93=0),"",F93/D93)</f>
        <v/>
      </c>
      <c r="M93" s="25" t="str">
        <f aca="false">IF(OR(D93="",G93="",D93=0),"",G93/D93)</f>
        <v/>
      </c>
      <c r="N93" s="25" t="str">
        <f aca="false">IF(OR(D93="",H93="",D93=0),"",H93/D93)</f>
        <v/>
      </c>
      <c r="O93" s="24" t="str">
        <f aca="false">IF(OR(D93="",I93="",D93=0),"",I93/D93)</f>
        <v/>
      </c>
      <c r="P93" s="25" t="str">
        <f aca="false">IF(OR(D93="",J93="",D93=0),"",J93/D93)</f>
        <v/>
      </c>
    </row>
    <row r="94" customFormat="false" ht="15" hidden="false" customHeight="false" outlineLevel="0" collapsed="false">
      <c r="A94" s="28" t="n">
        <v>22</v>
      </c>
      <c r="B94" s="30" t="n">
        <f aca="false">B93+7</f>
        <v>46356</v>
      </c>
      <c r="C94" s="30" t="n">
        <f aca="false">B94+6</f>
        <v>46362</v>
      </c>
      <c r="D94" s="31"/>
      <c r="E94" s="31"/>
      <c r="F94" s="31"/>
      <c r="G94" s="31"/>
      <c r="H94" s="31"/>
      <c r="I94" s="31"/>
      <c r="J94" s="11" t="str">
        <f aca="false">IF(COUNT(E94:I94)=0,"",SUM(E94:I94))</f>
        <v/>
      </c>
      <c r="K94" s="24" t="str">
        <f aca="false">IF(OR(D94="",E94="",D94=0),"",E94/D94)</f>
        <v/>
      </c>
      <c r="L94" s="25" t="str">
        <f aca="false">IF(OR(D94="",F94="",D94=0),"",F94/D94)</f>
        <v/>
      </c>
      <c r="M94" s="25" t="str">
        <f aca="false">IF(OR(D94="",G94="",D94=0),"",G94/D94)</f>
        <v/>
      </c>
      <c r="N94" s="25" t="str">
        <f aca="false">IF(OR(D94="",H94="",D94=0),"",H94/D94)</f>
        <v/>
      </c>
      <c r="O94" s="24" t="str">
        <f aca="false">IF(OR(D94="",I94="",D94=0),"",I94/D94)</f>
        <v/>
      </c>
      <c r="P94" s="25" t="str">
        <f aca="false">IF(OR(D94="",J94="",D94=0),"",J94/D94)</f>
        <v/>
      </c>
    </row>
    <row r="95" customFormat="false" ht="15" hidden="false" customHeight="false" outlineLevel="0" collapsed="false">
      <c r="A95" s="28" t="n">
        <v>23</v>
      </c>
      <c r="B95" s="30" t="n">
        <f aca="false">B94+7</f>
        <v>46363</v>
      </c>
      <c r="C95" s="30" t="n">
        <f aca="false">B95+6</f>
        <v>46369</v>
      </c>
      <c r="D95" s="31"/>
      <c r="E95" s="31"/>
      <c r="F95" s="31"/>
      <c r="G95" s="31"/>
      <c r="H95" s="31"/>
      <c r="I95" s="31"/>
      <c r="J95" s="11" t="str">
        <f aca="false">IF(COUNT(E95:I95)=0,"",SUM(E95:I95))</f>
        <v/>
      </c>
      <c r="K95" s="24" t="str">
        <f aca="false">IF(OR(D95="",E95="",D95=0),"",E95/D95)</f>
        <v/>
      </c>
      <c r="L95" s="25" t="str">
        <f aca="false">IF(OR(D95="",F95="",D95=0),"",F95/D95)</f>
        <v/>
      </c>
      <c r="M95" s="25" t="str">
        <f aca="false">IF(OR(D95="",G95="",D95=0),"",G95/D95)</f>
        <v/>
      </c>
      <c r="N95" s="25" t="str">
        <f aca="false">IF(OR(D95="",H95="",D95=0),"",H95/D95)</f>
        <v/>
      </c>
      <c r="O95" s="24" t="str">
        <f aca="false">IF(OR(D95="",I95="",D95=0),"",I95/D95)</f>
        <v/>
      </c>
      <c r="P95" s="25" t="str">
        <f aca="false">IF(OR(D95="",J95="",D95=0),"",J95/D95)</f>
        <v/>
      </c>
    </row>
    <row r="96" customFormat="false" ht="15" hidden="false" customHeight="false" outlineLevel="0" collapsed="false">
      <c r="A96" s="28" t="n">
        <v>24</v>
      </c>
      <c r="B96" s="30" t="n">
        <f aca="false">B95+7</f>
        <v>46370</v>
      </c>
      <c r="C96" s="30" t="n">
        <f aca="false">B96+6</f>
        <v>46376</v>
      </c>
      <c r="D96" s="31"/>
      <c r="E96" s="31"/>
      <c r="F96" s="31"/>
      <c r="G96" s="31"/>
      <c r="H96" s="31"/>
      <c r="I96" s="31"/>
      <c r="J96" s="11" t="str">
        <f aca="false">IF(COUNT(E96:I96)=0,"",SUM(E96:I96))</f>
        <v/>
      </c>
      <c r="K96" s="24" t="str">
        <f aca="false">IF(OR(D96="",E96="",D96=0),"",E96/D96)</f>
        <v/>
      </c>
      <c r="L96" s="25" t="str">
        <f aca="false">IF(OR(D96="",F96="",D96=0),"",F96/D96)</f>
        <v/>
      </c>
      <c r="M96" s="25" t="str">
        <f aca="false">IF(OR(D96="",G96="",D96=0),"",G96/D96)</f>
        <v/>
      </c>
      <c r="N96" s="25" t="str">
        <f aca="false">IF(OR(D96="",H96="",D96=0),"",H96/D96)</f>
        <v/>
      </c>
      <c r="O96" s="24" t="str">
        <f aca="false">IF(OR(D96="",I96="",D96=0),"",I96/D96)</f>
        <v/>
      </c>
      <c r="P96" s="25" t="str">
        <f aca="false">IF(OR(D96="",J96="",D96=0),"",J96/D96)</f>
        <v/>
      </c>
    </row>
    <row r="97" customFormat="false" ht="15" hidden="false" customHeight="false" outlineLevel="0" collapsed="false">
      <c r="A97" s="28" t="n">
        <v>25</v>
      </c>
      <c r="B97" s="30" t="n">
        <f aca="false">B96+7</f>
        <v>46377</v>
      </c>
      <c r="C97" s="30" t="n">
        <f aca="false">B97+6</f>
        <v>46383</v>
      </c>
      <c r="D97" s="31"/>
      <c r="E97" s="31"/>
      <c r="F97" s="31"/>
      <c r="G97" s="31"/>
      <c r="H97" s="31"/>
      <c r="I97" s="31"/>
      <c r="J97" s="11" t="str">
        <f aca="false">IF(COUNT(E97:I97)=0,"",SUM(E97:I97))</f>
        <v/>
      </c>
      <c r="K97" s="24" t="str">
        <f aca="false">IF(OR(D97="",E97="",D97=0),"",E97/D97)</f>
        <v/>
      </c>
      <c r="L97" s="25" t="str">
        <f aca="false">IF(OR(D97="",F97="",D97=0),"",F97/D97)</f>
        <v/>
      </c>
      <c r="M97" s="25" t="str">
        <f aca="false">IF(OR(D97="",G97="",D97=0),"",G97/D97)</f>
        <v/>
      </c>
      <c r="N97" s="25" t="str">
        <f aca="false">IF(OR(D97="",H97="",D97=0),"",H97/D97)</f>
        <v/>
      </c>
      <c r="O97" s="24" t="str">
        <f aca="false">IF(OR(D97="",I97="",D97=0),"",I97/D97)</f>
        <v/>
      </c>
      <c r="P97" s="25" t="str">
        <f aca="false">IF(OR(D97="",J97="",D97=0),"",J97/D97)</f>
        <v/>
      </c>
    </row>
    <row r="98" customFormat="false" ht="15" hidden="false" customHeight="false" outlineLevel="0" collapsed="false">
      <c r="A98" s="28" t="n">
        <v>26</v>
      </c>
      <c r="B98" s="30" t="n">
        <f aca="false">B97+7</f>
        <v>46384</v>
      </c>
      <c r="C98" s="30" t="n">
        <f aca="false">B98+6</f>
        <v>46390</v>
      </c>
      <c r="D98" s="31"/>
      <c r="E98" s="31"/>
      <c r="F98" s="31"/>
      <c r="G98" s="31"/>
      <c r="H98" s="31"/>
      <c r="I98" s="31"/>
      <c r="J98" s="11" t="str">
        <f aca="false">IF(COUNT(E98:I98)=0,"",SUM(E98:I98))</f>
        <v/>
      </c>
      <c r="K98" s="24" t="str">
        <f aca="false">IF(OR(D98="",E98="",D98=0),"",E98/D98)</f>
        <v/>
      </c>
      <c r="L98" s="25" t="str">
        <f aca="false">IF(OR(D98="",F98="",D98=0),"",F98/D98)</f>
        <v/>
      </c>
      <c r="M98" s="25" t="str">
        <f aca="false">IF(OR(D98="",G98="",D98=0),"",G98/D98)</f>
        <v/>
      </c>
      <c r="N98" s="25" t="str">
        <f aca="false">IF(OR(D98="",H98="",D98=0),"",H98/D98)</f>
        <v/>
      </c>
      <c r="O98" s="24" t="str">
        <f aca="false">IF(OR(D98="",I98="",D98=0),"",I98/D98)</f>
        <v/>
      </c>
      <c r="P98" s="25" t="str">
        <f aca="false">IF(OR(D98="",J98="",D98=0),"",J98/D98)</f>
        <v/>
      </c>
    </row>
    <row r="100" customFormat="false" ht="15" hidden="false" customHeight="false" outlineLevel="0" collapsed="false">
      <c r="A100" s="27" t="s">
        <v>31</v>
      </c>
    </row>
  </sheetData>
  <mergeCells count="15">
    <mergeCell ref="A2:A3"/>
    <mergeCell ref="B2:C2"/>
    <mergeCell ref="D2:E2"/>
    <mergeCell ref="F2:H2"/>
    <mergeCell ref="J2:P6"/>
    <mergeCell ref="A13:A14"/>
    <mergeCell ref="B13:C13"/>
    <mergeCell ref="D13:E13"/>
    <mergeCell ref="F13:G13"/>
    <mergeCell ref="H13:I13"/>
    <mergeCell ref="J13:K13"/>
    <mergeCell ref="A25:A26"/>
    <mergeCell ref="B25:C25"/>
    <mergeCell ref="D25:E25"/>
    <mergeCell ref="F25:H25"/>
  </mergeCells>
  <conditionalFormatting sqref="F5:H10">
    <cfRule type="expression" priority="2" aboveAverage="0" equalAverage="0" bottom="0" percent="0" rank="0" text="" dxfId="0">
      <formula>AND(ISNUMBER(F5),F5&gt;0)</formula>
    </cfRule>
    <cfRule type="expression" priority="3" aboveAverage="0" equalAverage="0" bottom="0" percent="0" rank="0" text="" dxfId="1">
      <formula>AND(ISNUMBER(F5),F5&lt;0)</formula>
    </cfRule>
  </conditionalFormatting>
  <conditionalFormatting sqref="C16 E16 G16 I16 K16">
    <cfRule type="colorScale" priority="4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7 E17 G17 I17 K17">
    <cfRule type="colorScale" priority="5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8 E18 G18 I18 K18">
    <cfRule type="colorScale" priority="6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9 E19 G19 I19 K19">
    <cfRule type="colorScale" priority="7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20 E20 G20 I20 K20">
    <cfRule type="colorScale" priority="8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21 E21 G21 I21 K21">
    <cfRule type="colorScale" priority="9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F28:H33">
    <cfRule type="expression" priority="10" aboveAverage="0" equalAverage="0" bottom="0" percent="0" rank="0" text="" dxfId="0">
      <formula>AND(ISNUMBER(F28),F28&gt;0)</formula>
    </cfRule>
    <cfRule type="expression" priority="11" aboveAverage="0" equalAverage="0" bottom="0" percent="0" rank="0" text="" dxfId="1">
      <formula>AND(ISNUMBER(F28),F28&lt;0)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6"/>
    <col collapsed="false" customWidth="true" hidden="false" outlineLevel="0" max="10" min="10" style="0" width="36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7" t="s">
        <v>32</v>
      </c>
      <c r="J1" s="32" t="s">
        <v>33</v>
      </c>
    </row>
    <row r="2" customFormat="false" ht="26.85" hidden="false" customHeight="false" outlineLevel="0" collapsed="false">
      <c r="A2" s="2" t="s">
        <v>34</v>
      </c>
      <c r="B2" s="2" t="s">
        <v>24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J2" s="33" t="s">
        <v>35</v>
      </c>
      <c r="K2" s="33" t="n">
        <f aca="false">COUNT('Досмотр по неделям'!$D$73:$D$98)</f>
        <v>8</v>
      </c>
    </row>
    <row r="3" customFormat="false" ht="15" hidden="false" customHeight="false" outlineLevel="0" collapsed="false">
      <c r="A3" s="10" t="str">
        <f aca="false">TEXT(DAY('Досмотр по неделям'!B73),"00")&amp;"."&amp;TEXT(MONTH('Досмотр по неделям'!B73),"00")</f>
        <v>06.07</v>
      </c>
      <c r="B3" s="11" t="n">
        <f aca="false">IF('Досмотр по неделям'!D73="",NA(),'Досмотр по неделям'!D73)</f>
        <v>98597</v>
      </c>
      <c r="C3" s="25" t="n">
        <f aca="false">IF(OR('Досмотр по неделям'!K73="",'Досмотр по неделям'!K73=0),NA(),'Досмотр по неделям'!K73)</f>
        <v>5.07114820937757E-005</v>
      </c>
      <c r="D3" s="25" t="n">
        <f aca="false">IF(OR('Досмотр по неделям'!L73="",'Досмотр по неделям'!L73=0),NA(),'Досмотр по неделям'!L73)</f>
        <v>0.00392506871405824</v>
      </c>
      <c r="E3" s="25" t="n">
        <f aca="false">IF(OR('Досмотр по неделям'!M73="",'Досмотр по неделям'!M73=0),NA(),'Досмотр по неделям'!M73)</f>
        <v>0.00199803239449476</v>
      </c>
      <c r="F3" s="25" t="n">
        <f aca="false">IF(OR('Досмотр по неделям'!N73="",'Досмотр по неделям'!N73=0),NA(),'Досмотр по неделям'!N73)</f>
        <v>0.00129821394160066</v>
      </c>
      <c r="G3" s="25" t="n">
        <f aca="false">IF(OR('Досмотр по неделям'!O73="",'Досмотр по неделям'!O73=0),NA(),'Досмотр по неделям'!O73)</f>
        <v>1.01422964187551E-005</v>
      </c>
      <c r="H3" s="25" t="n">
        <f aca="false">IF(OR('Досмотр по неделям'!P73="",'Досмотр по неделям'!P73=0),NA(),'Досмотр по неделям'!P73)</f>
        <v>0.00728216882866619</v>
      </c>
      <c r="J3" s="33" t="s">
        <v>36</v>
      </c>
      <c r="K3" s="34" t="n">
        <f aca="false">IF(K2=0,"",DATE(YEAR(INDEX('Досмотр по неделям'!$B$73:$B$98,K2)),MONTH(INDEX('Досмотр по неделям'!$B$73:$B$98,K2)),1))</f>
        <v>46235</v>
      </c>
    </row>
    <row r="4" customFormat="false" ht="15" hidden="false" customHeight="false" outlineLevel="0" collapsed="false">
      <c r="A4" s="10" t="str">
        <f aca="false">TEXT(DAY('Досмотр по неделям'!B74),"00")&amp;"."&amp;TEXT(MONTH('Досмотр по неделям'!B74),"00")</f>
        <v>13.07</v>
      </c>
      <c r="B4" s="11" t="n">
        <f aca="false">IF('Досмотр по неделям'!D74="",NA(),'Досмотр по неделям'!D74)</f>
        <v>98597</v>
      </c>
      <c r="C4" s="25" t="n">
        <f aca="false">IF(OR('Досмотр по неделям'!K74="",'Досмотр по неделям'!K74=0),NA(),'Досмотр по неделям'!K74)</f>
        <v>5.07114820937757E-005</v>
      </c>
      <c r="D4" s="25" t="n">
        <f aca="false">IF(OR('Досмотр по неделям'!L74="",'Досмотр по неделям'!L74=0),NA(),'Досмотр по неделям'!L74)</f>
        <v>0.00392506871405824</v>
      </c>
      <c r="E4" s="25" t="n">
        <f aca="false">IF(OR('Досмотр по неделям'!M74="",'Досмотр по неделям'!M74=0),NA(),'Досмотр по неделям'!M74)</f>
        <v>0.00199803239449476</v>
      </c>
      <c r="F4" s="25" t="n">
        <f aca="false">IF(OR('Досмотр по неделям'!N74="",'Досмотр по неделям'!N74=0),NA(),'Досмотр по неделям'!N74)</f>
        <v>0.00129821394160066</v>
      </c>
      <c r="G4" s="25" t="n">
        <f aca="false">IF(OR('Досмотр по неделям'!O74="",'Досмотр по неделям'!O74=0),NA(),'Досмотр по неделям'!O74)</f>
        <v>1.01422964187551E-005</v>
      </c>
      <c r="H4" s="25" t="n">
        <f aca="false">IF(OR('Досмотр по неделям'!P74="",'Досмотр по неделям'!P74=0),NA(),'Досмотр по неделям'!P74)</f>
        <v>0.00728216882866619</v>
      </c>
      <c r="J4" s="33" t="s">
        <v>37</v>
      </c>
      <c r="K4" s="34" t="n">
        <f aca="false">IF(K3="","",EDATE(K3,-1))</f>
        <v>46204</v>
      </c>
    </row>
    <row r="5" customFormat="false" ht="15" hidden="false" customHeight="false" outlineLevel="0" collapsed="false">
      <c r="A5" s="10" t="str">
        <f aca="false">TEXT(DAY('Досмотр по неделям'!B75),"00")&amp;"."&amp;TEXT(MONTH('Досмотр по неделям'!B75),"00")</f>
        <v>20.07</v>
      </c>
      <c r="B5" s="11" t="n">
        <f aca="false">IF('Досмотр по неделям'!D75="",NA(),'Досмотр по неделям'!D75)</f>
        <v>98597</v>
      </c>
      <c r="C5" s="25" t="n">
        <f aca="false">IF(OR('Досмотр по неделям'!K75="",'Досмотр по неделям'!K75=0),NA(),'Досмотр по неделям'!K75)</f>
        <v>5.07114820937757E-005</v>
      </c>
      <c r="D5" s="25" t="n">
        <f aca="false">IF(OR('Досмотр по неделям'!L75="",'Досмотр по неделям'!L75=0),NA(),'Досмотр по неделям'!L75)</f>
        <v>0.00392506871405824</v>
      </c>
      <c r="E5" s="25" t="n">
        <f aca="false">IF(OR('Досмотр по неделям'!M75="",'Досмотр по неделям'!M75=0),NA(),'Досмотр по неделям'!M75)</f>
        <v>0.00199803239449476</v>
      </c>
      <c r="F5" s="25" t="n">
        <f aca="false">IF(OR('Досмотр по неделям'!N75="",'Досмотр по неделям'!N75=0),NA(),'Досмотр по неделям'!N75)</f>
        <v>0.00129821394160066</v>
      </c>
      <c r="G5" s="25" t="n">
        <f aca="false">IF(OR('Досмотр по неделям'!O75="",'Досмотр по неделям'!O75=0),NA(),'Досмотр по неделям'!O75)</f>
        <v>1.01422964187551E-005</v>
      </c>
      <c r="H5" s="25" t="n">
        <f aca="false">IF(OR('Досмотр по неделям'!P75="",'Досмотр по неделям'!P75=0),NA(),'Досмотр по неделям'!P75)</f>
        <v>0.00728216882866619</v>
      </c>
      <c r="J5" s="33" t="s">
        <v>38</v>
      </c>
      <c r="K5" s="34" t="n">
        <f aca="false">IF(K3="","",EDATE(K3,1))</f>
        <v>46266</v>
      </c>
    </row>
    <row r="6" customFormat="false" ht="15" hidden="false" customHeight="false" outlineLevel="0" collapsed="false">
      <c r="A6" s="10" t="str">
        <f aca="false">TEXT(DAY('Досмотр по неделям'!B76),"00")&amp;"."&amp;TEXT(MONTH('Досмотр по неделям'!B76),"00")</f>
        <v>27.07</v>
      </c>
      <c r="B6" s="11" t="n">
        <f aca="false">IF('Досмотр по неделям'!D76="",NA(),'Досмотр по неделям'!D76)</f>
        <v>101669</v>
      </c>
      <c r="C6" s="25" t="n">
        <f aca="false">IF(OR('Досмотр по неделям'!K76="",'Досмотр по неделям'!K76=0),NA(),'Досмотр по неделям'!K76)</f>
        <v>5.90150389991049E-005</v>
      </c>
      <c r="D6" s="25" t="n">
        <f aca="false">IF(OR('Досмотр по неделям'!L76="",'Досмотр по неделям'!L76=0),NA(),'Досмотр по неделям'!L76)</f>
        <v>0.00379663417560908</v>
      </c>
      <c r="E6" s="25" t="n">
        <f aca="false">IF(OR('Досмотр по неделям'!M76="",'Досмотр по неделям'!M76=0),NA(),'Досмотр по неделям'!M76)</f>
        <v>0.0017999586894727</v>
      </c>
      <c r="F6" s="25" t="n">
        <f aca="false">IF(OR('Досмотр по неделям'!N76="",'Досмотр по неделям'!N76=0),NA(),'Досмотр по неделям'!N76)</f>
        <v>0.00126882333848076</v>
      </c>
      <c r="G6" s="25" t="n">
        <f aca="false">IF(OR('Досмотр по неделям'!O76="",'Досмотр по неделям'!O76=0),NA(),'Досмотр по неделям'!O76)</f>
        <v>9.83583983318416E-006</v>
      </c>
      <c r="H6" s="25" t="n">
        <f aca="false">IF(OR('Досмотр по неделям'!P76="",'Досмотр по неделям'!P76=0),NA(),'Досмотр по неделям'!P76)</f>
        <v>0.00693426708239483</v>
      </c>
      <c r="J6" s="33" t="s">
        <v>39</v>
      </c>
      <c r="K6" s="33" t="n">
        <f aca="false">IF(K3="","",COUNTIF('Досмотр по неделям'!$B$73:$B$98,"&lt;"&amp;K3)+1)</f>
        <v>5</v>
      </c>
    </row>
    <row r="7" customFormat="false" ht="15" hidden="false" customHeight="false" outlineLevel="0" collapsed="false">
      <c r="A7" s="10" t="str">
        <f aca="false">TEXT(DAY('Досмотр по неделям'!B77),"00")&amp;"."&amp;TEXT(MONTH('Досмотр по неделям'!B77),"00")</f>
        <v>03.08</v>
      </c>
      <c r="B7" s="11" t="n">
        <f aca="false">IF('Досмотр по неделям'!D77="",NA(),'Досмотр по неделям'!D77)</f>
        <v>109350</v>
      </c>
      <c r="C7" s="25" t="n">
        <f aca="false">IF(OR('Досмотр по неделям'!K77="",'Досмотр по неделям'!K77=0),NA(),'Досмотр по неделям'!K77)</f>
        <v>6.40146319158665E-005</v>
      </c>
      <c r="D7" s="25" t="n">
        <f aca="false">IF(OR('Досмотр по неделям'!L77="",'Досмотр по неделям'!L77=0),NA(),'Досмотр по неделям'!L77)</f>
        <v>0.00350251486053955</v>
      </c>
      <c r="E7" s="25" t="n">
        <f aca="false">IF(OR('Досмотр по неделям'!M77="",'Досмотр по неделям'!M77=0),NA(),'Досмотр по неделям'!M77)</f>
        <v>0.0013625971650663</v>
      </c>
      <c r="F7" s="25" t="n">
        <f aca="false">IF(OR('Досмотр по неделям'!N77="",'Досмотр по неделям'!N77=0),NA(),'Досмотр по неделям'!N77)</f>
        <v>0.00119798811156836</v>
      </c>
      <c r="G7" s="25" t="n">
        <f aca="false">IF(OR('Досмотр по неделям'!O77="",'Досмотр по неделям'!O77=0),NA(),'Досмотр по неделям'!O77)</f>
        <v>1.82898948331047E-005</v>
      </c>
      <c r="H7" s="25" t="n">
        <f aca="false">IF(OR('Досмотр по неделям'!P77="",'Досмотр по неделям'!P77=0),NA(),'Досмотр по неделям'!P77)</f>
        <v>0.00614540466392318</v>
      </c>
      <c r="J7" s="33" t="s">
        <v>40</v>
      </c>
      <c r="K7" s="33" t="n">
        <f aca="false">IF(K6="","",IF(K6+0&gt;26,"",IF(INDEX('Досмотр по неделям'!$B$73:$B$98,K6+0)&lt;K5,K6+0,"")))</f>
        <v>5</v>
      </c>
    </row>
    <row r="8" customFormat="false" ht="15" hidden="false" customHeight="false" outlineLevel="0" collapsed="false">
      <c r="A8" s="10" t="str">
        <f aca="false">TEXT(DAY('Досмотр по неделям'!B78),"00")&amp;"."&amp;TEXT(MONTH('Досмотр по неделям'!B78),"00")</f>
        <v>10.08</v>
      </c>
      <c r="B8" s="11" t="n">
        <f aca="false">IF('Досмотр по неделям'!D78="",NA(),'Досмотр по неделям'!D78)</f>
        <v>109350</v>
      </c>
      <c r="C8" s="25" t="n">
        <f aca="false">IF(OR('Досмотр по неделям'!K78="",'Досмотр по неделям'!K78=0),NA(),'Досмотр по неделям'!K78)</f>
        <v>6.40146319158665E-005</v>
      </c>
      <c r="D8" s="25" t="n">
        <f aca="false">IF(OR('Досмотр по неделям'!L78="",'Досмотр по неделям'!L78=0),NA(),'Досмотр по неделям'!L78)</f>
        <v>0.00350251486053955</v>
      </c>
      <c r="E8" s="25" t="n">
        <f aca="false">IF(OR('Досмотр по неделям'!M78="",'Досмотр по неделям'!M78=0),NA(),'Досмотр по неделям'!M78)</f>
        <v>0.0013625971650663</v>
      </c>
      <c r="F8" s="25" t="n">
        <f aca="false">IF(OR('Досмотр по неделям'!N78="",'Досмотр по неделям'!N78=0),NA(),'Досмотр по неделям'!N78)</f>
        <v>0.00119798811156836</v>
      </c>
      <c r="G8" s="25" t="n">
        <f aca="false">IF(OR('Досмотр по неделям'!O78="",'Досмотр по неделям'!O78=0),NA(),'Досмотр по неделям'!O78)</f>
        <v>1.82898948331047E-005</v>
      </c>
      <c r="H8" s="25" t="n">
        <f aca="false">IF(OR('Досмотр по неделям'!P78="",'Досмотр по неделям'!P78=0),NA(),'Досмотр по неделям'!P78)</f>
        <v>0.00614540466392318</v>
      </c>
      <c r="J8" s="33" t="s">
        <v>41</v>
      </c>
      <c r="K8" s="33" t="n">
        <f aca="false">IF(K6="","",IF(K6+1&gt;26,"",IF(INDEX('Досмотр по неделям'!$B$73:$B$98,K6+1)&lt;K5,K6+1,"")))</f>
        <v>6</v>
      </c>
    </row>
    <row r="9" customFormat="false" ht="15" hidden="false" customHeight="false" outlineLevel="0" collapsed="false">
      <c r="A9" s="10" t="str">
        <f aca="false">TEXT(DAY('Досмотр по неделям'!B79),"00")&amp;"."&amp;TEXT(MONTH('Досмотр по неделям'!B79),"00")</f>
        <v>17.08</v>
      </c>
      <c r="B9" s="11" t="n">
        <f aca="false">IF('Досмотр по неделям'!D79="",NA(),'Досмотр по неделям'!D79)</f>
        <v>109350</v>
      </c>
      <c r="C9" s="25" t="n">
        <f aca="false">IF(OR('Досмотр по неделям'!K79="",'Досмотр по неделям'!K79=0),NA(),'Досмотр по неделям'!K79)</f>
        <v>6.40146319158665E-005</v>
      </c>
      <c r="D9" s="25" t="n">
        <f aca="false">IF(OR('Досмотр по неделям'!L79="",'Досмотр по неделям'!L79=0),NA(),'Досмотр по неделям'!L79)</f>
        <v>0.00350251486053955</v>
      </c>
      <c r="E9" s="25" t="n">
        <f aca="false">IF(OR('Досмотр по неделям'!M79="",'Досмотр по неделям'!M79=0),NA(),'Досмотр по неделям'!M79)</f>
        <v>0.0013625971650663</v>
      </c>
      <c r="F9" s="25" t="n">
        <f aca="false">IF(OR('Досмотр по неделям'!N79="",'Досмотр по неделям'!N79=0),NA(),'Досмотр по неделям'!N79)</f>
        <v>0.00119798811156836</v>
      </c>
      <c r="G9" s="25" t="n">
        <f aca="false">IF(OR('Досмотр по неделям'!O79="",'Досмотр по неделям'!O79=0),NA(),'Досмотр по неделям'!O79)</f>
        <v>1.82898948331047E-005</v>
      </c>
      <c r="H9" s="25" t="n">
        <f aca="false">IF(OR('Досмотр по неделям'!P79="",'Досмотр по неделям'!P79=0),NA(),'Досмотр по неделям'!P79)</f>
        <v>0.00614540466392318</v>
      </c>
      <c r="J9" s="33" t="s">
        <v>42</v>
      </c>
      <c r="K9" s="33" t="n">
        <f aca="false">IF(K6="","",IF(K6+2&gt;26,"",IF(INDEX('Досмотр по неделям'!$B$73:$B$98,K6+2)&lt;K5,K6+2,"")))</f>
        <v>7</v>
      </c>
    </row>
    <row r="10" customFormat="false" ht="15" hidden="false" customHeight="false" outlineLevel="0" collapsed="false">
      <c r="A10" s="10" t="str">
        <f aca="false">TEXT(DAY('Досмотр по неделям'!B80),"00")&amp;"."&amp;TEXT(MONTH('Досмотр по неделям'!B80),"00")</f>
        <v>24.08</v>
      </c>
      <c r="B10" s="11" t="n">
        <f aca="false">IF('Досмотр по неделям'!D80="",NA(),'Досмотр по неделям'!D80)</f>
        <v>109350</v>
      </c>
      <c r="C10" s="25" t="n">
        <f aca="false">IF(OR('Досмотр по неделям'!K80="",'Досмотр по неделям'!K80=0),NA(),'Досмотр по неделям'!K80)</f>
        <v>6.40146319158665E-005</v>
      </c>
      <c r="D10" s="25" t="n">
        <f aca="false">IF(OR('Досмотр по неделям'!L80="",'Досмотр по неделям'!L80=0),NA(),'Досмотр по неделям'!L80)</f>
        <v>0.00350251486053955</v>
      </c>
      <c r="E10" s="25" t="n">
        <f aca="false">IF(OR('Досмотр по неделям'!M80="",'Досмотр по неделям'!M80=0),NA(),'Досмотр по неделям'!M80)</f>
        <v>0.0013625971650663</v>
      </c>
      <c r="F10" s="25" t="n">
        <f aca="false">IF(OR('Досмотр по неделям'!N80="",'Досмотр по неделям'!N80=0),NA(),'Досмотр по неделям'!N80)</f>
        <v>0.00119798811156836</v>
      </c>
      <c r="G10" s="25" t="n">
        <f aca="false">IF(OR('Досмотр по неделям'!O80="",'Досмотр по неделям'!O80=0),NA(),'Досмотр по неделям'!O80)</f>
        <v>1.82898948331047E-005</v>
      </c>
      <c r="H10" s="25" t="n">
        <f aca="false">IF(OR('Досмотр по неделям'!P80="",'Досмотр по неделям'!P80=0),NA(),'Досмотр по неделям'!P80)</f>
        <v>0.00614540466392318</v>
      </c>
      <c r="J10" s="33" t="s">
        <v>43</v>
      </c>
      <c r="K10" s="33" t="n">
        <f aca="false">IF(K6="","",IF(K6+3&gt;26,"",IF(INDEX('Досмотр по неделям'!$B$73:$B$98,K6+3)&lt;K5,K6+3,"")))</f>
        <v>8</v>
      </c>
    </row>
    <row r="11" customFormat="false" ht="15" hidden="false" customHeight="false" outlineLevel="0" collapsed="false">
      <c r="A11" s="10" t="str">
        <f aca="false">TEXT(DAY('Досмотр по неделям'!B81),"00")&amp;"."&amp;TEXT(MONTH('Досмотр по неделям'!B81),"00")</f>
        <v>31.08</v>
      </c>
      <c r="B11" s="11" t="e">
        <f aca="false">IF('Досмотр по неделям'!D81="",NA(),'Досмотр по неделям'!D81)</f>
        <v>#N/A</v>
      </c>
      <c r="C11" s="25" t="e">
        <f aca="false">IF(OR('Досмотр по неделям'!K81="",'Досмотр по неделям'!K81=0),NA(),'Досмотр по неделям'!K81)</f>
        <v>#N/A</v>
      </c>
      <c r="D11" s="25" t="e">
        <f aca="false">IF(OR('Досмотр по неделям'!L81="",'Досмотр по неделям'!L81=0),NA(),'Досмотр по неделям'!L81)</f>
        <v>#N/A</v>
      </c>
      <c r="E11" s="25" t="e">
        <f aca="false">IF(OR('Досмотр по неделям'!M81="",'Досмотр по неделям'!M81=0),NA(),'Досмотр по неделям'!M81)</f>
        <v>#N/A</v>
      </c>
      <c r="F11" s="25" t="e">
        <f aca="false">IF(OR('Досмотр по неделям'!N81="",'Досмотр по неделям'!N81=0),NA(),'Досмотр по неделям'!N81)</f>
        <v>#N/A</v>
      </c>
      <c r="G11" s="25" t="e">
        <f aca="false">IF(OR('Досмотр по неделям'!O81="",'Досмотр по неделям'!O81=0),NA(),'Досмотр по неделям'!O81)</f>
        <v>#N/A</v>
      </c>
      <c r="H11" s="25" t="e">
        <f aca="false">IF(OR('Досмотр по неделям'!P81="",'Досмотр по неделям'!P81=0),NA(),'Досмотр по неделям'!P81)</f>
        <v>#N/A</v>
      </c>
      <c r="J11" s="33" t="s">
        <v>44</v>
      </c>
      <c r="K11" s="33" t="n">
        <f aca="false">IF(K6="","",IF(K6+4&gt;26,"",IF(INDEX('Досмотр по неделям'!$B$73:$B$98,K6+4)&lt;K5,K6+4,"")))</f>
        <v>9</v>
      </c>
    </row>
    <row r="12" customFormat="false" ht="15" hidden="false" customHeight="false" outlineLevel="0" collapsed="false">
      <c r="A12" s="10" t="str">
        <f aca="false">TEXT(DAY('Досмотр по неделям'!B82),"00")&amp;"."&amp;TEXT(MONTH('Досмотр по неделям'!B82),"00")</f>
        <v>07.09</v>
      </c>
      <c r="B12" s="11" t="e">
        <f aca="false">IF('Досмотр по неделям'!D82="",NA(),'Досмотр по неделям'!D82)</f>
        <v>#N/A</v>
      </c>
      <c r="C12" s="25" t="e">
        <f aca="false">IF(OR('Досмотр по неделям'!K82="",'Досмотр по неделям'!K82=0),NA(),'Досмотр по неделям'!K82)</f>
        <v>#N/A</v>
      </c>
      <c r="D12" s="25" t="e">
        <f aca="false">IF(OR('Досмотр по неделям'!L82="",'Досмотр по неделям'!L82=0),NA(),'Досмотр по неделям'!L82)</f>
        <v>#N/A</v>
      </c>
      <c r="E12" s="25" t="e">
        <f aca="false">IF(OR('Досмотр по неделям'!M82="",'Досмотр по неделям'!M82=0),NA(),'Досмотр по неделям'!M82)</f>
        <v>#N/A</v>
      </c>
      <c r="F12" s="25" t="e">
        <f aca="false">IF(OR('Досмотр по неделям'!N82="",'Досмотр по неделям'!N82=0),NA(),'Досмотр по неделям'!N82)</f>
        <v>#N/A</v>
      </c>
      <c r="G12" s="25" t="e">
        <f aca="false">IF(OR('Досмотр по неделям'!O82="",'Досмотр по неделям'!O82=0),NA(),'Досмотр по неделям'!O82)</f>
        <v>#N/A</v>
      </c>
      <c r="H12" s="25" t="e">
        <f aca="false">IF(OR('Досмотр по неделям'!P82="",'Досмотр по неделям'!P82=0),NA(),'Досмотр по неделям'!P82)</f>
        <v>#N/A</v>
      </c>
    </row>
    <row r="13" customFormat="false" ht="15" hidden="false" customHeight="false" outlineLevel="0" collapsed="false">
      <c r="A13" s="10" t="str">
        <f aca="false">TEXT(DAY('Досмотр по неделям'!B83),"00")&amp;"."&amp;TEXT(MONTH('Досмотр по неделям'!B83),"00")</f>
        <v>14.09</v>
      </c>
      <c r="B13" s="11" t="e">
        <f aca="false">IF('Досмотр по неделям'!D83="",NA(),'Досмотр по неделям'!D83)</f>
        <v>#N/A</v>
      </c>
      <c r="C13" s="25" t="e">
        <f aca="false">IF(OR('Досмотр по неделям'!K83="",'Досмотр по неделям'!K83=0),NA(),'Досмотр по неделям'!K83)</f>
        <v>#N/A</v>
      </c>
      <c r="D13" s="25" t="e">
        <f aca="false">IF(OR('Досмотр по неделям'!L83="",'Досмотр по неделям'!L83=0),NA(),'Досмотр по неделям'!L83)</f>
        <v>#N/A</v>
      </c>
      <c r="E13" s="25" t="e">
        <f aca="false">IF(OR('Досмотр по неделям'!M83="",'Досмотр по неделям'!M83=0),NA(),'Досмотр по неделям'!M83)</f>
        <v>#N/A</v>
      </c>
      <c r="F13" s="25" t="e">
        <f aca="false">IF(OR('Досмотр по неделям'!N83="",'Досмотр по неделям'!N83=0),NA(),'Досмотр по неделям'!N83)</f>
        <v>#N/A</v>
      </c>
      <c r="G13" s="25" t="e">
        <f aca="false">IF(OR('Досмотр по неделям'!O83="",'Досмотр по неделям'!O83=0),NA(),'Досмотр по неделям'!O83)</f>
        <v>#N/A</v>
      </c>
      <c r="H13" s="25" t="e">
        <f aca="false">IF(OR('Досмотр по неделям'!P83="",'Досмотр по неделям'!P83=0),NA(),'Досмотр по неделям'!P83)</f>
        <v>#N/A</v>
      </c>
    </row>
    <row r="14" customFormat="false" ht="15" hidden="false" customHeight="false" outlineLevel="0" collapsed="false">
      <c r="A14" s="10" t="str">
        <f aca="false">TEXT(DAY('Досмотр по неделям'!B84),"00")&amp;"."&amp;TEXT(MONTH('Досмотр по неделям'!B84),"00")</f>
        <v>21.09</v>
      </c>
      <c r="B14" s="11" t="e">
        <f aca="false">IF('Досмотр по неделям'!D84="",NA(),'Досмотр по неделям'!D84)</f>
        <v>#N/A</v>
      </c>
      <c r="C14" s="25" t="e">
        <f aca="false">IF(OR('Досмотр по неделям'!K84="",'Досмотр по неделям'!K84=0),NA(),'Досмотр по неделям'!K84)</f>
        <v>#N/A</v>
      </c>
      <c r="D14" s="25" t="e">
        <f aca="false">IF(OR('Досмотр по неделям'!L84="",'Досмотр по неделям'!L84=0),NA(),'Досмотр по неделям'!L84)</f>
        <v>#N/A</v>
      </c>
      <c r="E14" s="25" t="e">
        <f aca="false">IF(OR('Досмотр по неделям'!M84="",'Досмотр по неделям'!M84=0),NA(),'Досмотр по неделям'!M84)</f>
        <v>#N/A</v>
      </c>
      <c r="F14" s="25" t="e">
        <f aca="false">IF(OR('Досмотр по неделям'!N84="",'Досмотр по неделям'!N84=0),NA(),'Досмотр по неделям'!N84)</f>
        <v>#N/A</v>
      </c>
      <c r="G14" s="25" t="e">
        <f aca="false">IF(OR('Досмотр по неделям'!O84="",'Досмотр по неделям'!O84=0),NA(),'Досмотр по неделям'!O84)</f>
        <v>#N/A</v>
      </c>
      <c r="H14" s="25" t="e">
        <f aca="false">IF(OR('Досмотр по неделям'!P84="",'Досмотр по неделям'!P84=0),NA(),'Досмотр по неделям'!P84)</f>
        <v>#N/A</v>
      </c>
    </row>
    <row r="15" customFormat="false" ht="15" hidden="false" customHeight="false" outlineLevel="0" collapsed="false">
      <c r="A15" s="10" t="str">
        <f aca="false">TEXT(DAY('Досмотр по неделям'!B85),"00")&amp;"."&amp;TEXT(MONTH('Досмотр по неделям'!B85),"00")</f>
        <v>28.09</v>
      </c>
      <c r="B15" s="11" t="e">
        <f aca="false">IF('Досмотр по неделям'!D85="",NA(),'Досмотр по неделям'!D85)</f>
        <v>#N/A</v>
      </c>
      <c r="C15" s="25" t="e">
        <f aca="false">IF(OR('Досмотр по неделям'!K85="",'Досмотр по неделям'!K85=0),NA(),'Досмотр по неделям'!K85)</f>
        <v>#N/A</v>
      </c>
      <c r="D15" s="25" t="e">
        <f aca="false">IF(OR('Досмотр по неделям'!L85="",'Досмотр по неделям'!L85=0),NA(),'Досмотр по неделям'!L85)</f>
        <v>#N/A</v>
      </c>
      <c r="E15" s="25" t="e">
        <f aca="false">IF(OR('Досмотр по неделям'!M85="",'Досмотр по неделям'!M85=0),NA(),'Досмотр по неделям'!M85)</f>
        <v>#N/A</v>
      </c>
      <c r="F15" s="25" t="e">
        <f aca="false">IF(OR('Досмотр по неделям'!N85="",'Досмотр по неделям'!N85=0),NA(),'Досмотр по неделям'!N85)</f>
        <v>#N/A</v>
      </c>
      <c r="G15" s="25" t="e">
        <f aca="false">IF(OR('Досмотр по неделям'!O85="",'Досмотр по неделям'!O85=0),NA(),'Досмотр по неделям'!O85)</f>
        <v>#N/A</v>
      </c>
      <c r="H15" s="25" t="e">
        <f aca="false">IF(OR('Досмотр по неделям'!P85="",'Досмотр по неделям'!P85=0),NA(),'Досмотр по неделям'!P85)</f>
        <v>#N/A</v>
      </c>
    </row>
    <row r="16" customFormat="false" ht="15" hidden="false" customHeight="false" outlineLevel="0" collapsed="false">
      <c r="A16" s="10" t="str">
        <f aca="false">TEXT(DAY('Досмотр по неделям'!B86),"00")&amp;"."&amp;TEXT(MONTH('Досмотр по неделям'!B86),"00")</f>
        <v>05.10</v>
      </c>
      <c r="B16" s="11" t="e">
        <f aca="false">IF('Досмотр по неделям'!D86="",NA(),'Досмотр по неделям'!D86)</f>
        <v>#N/A</v>
      </c>
      <c r="C16" s="25" t="e">
        <f aca="false">IF(OR('Досмотр по неделям'!K86="",'Досмотр по неделям'!K86=0),NA(),'Досмотр по неделям'!K86)</f>
        <v>#N/A</v>
      </c>
      <c r="D16" s="25" t="e">
        <f aca="false">IF(OR('Досмотр по неделям'!L86="",'Досмотр по неделям'!L86=0),NA(),'Досмотр по неделям'!L86)</f>
        <v>#N/A</v>
      </c>
      <c r="E16" s="25" t="e">
        <f aca="false">IF(OR('Досмотр по неделям'!M86="",'Досмотр по неделям'!M86=0),NA(),'Досмотр по неделям'!M86)</f>
        <v>#N/A</v>
      </c>
      <c r="F16" s="25" t="e">
        <f aca="false">IF(OR('Досмотр по неделям'!N86="",'Досмотр по неделям'!N86=0),NA(),'Досмотр по неделям'!N86)</f>
        <v>#N/A</v>
      </c>
      <c r="G16" s="25" t="e">
        <f aca="false">IF(OR('Досмотр по неделям'!O86="",'Досмотр по неделям'!O86=0),NA(),'Досмотр по неделям'!O86)</f>
        <v>#N/A</v>
      </c>
      <c r="H16" s="25" t="e">
        <f aca="false">IF(OR('Досмотр по неделям'!P86="",'Досмотр по неделям'!P86=0),NA(),'Досмотр по неделям'!P86)</f>
        <v>#N/A</v>
      </c>
    </row>
    <row r="17" customFormat="false" ht="15" hidden="false" customHeight="false" outlineLevel="0" collapsed="false">
      <c r="A17" s="10" t="str">
        <f aca="false">TEXT(DAY('Досмотр по неделям'!B87),"00")&amp;"."&amp;TEXT(MONTH('Досмотр по неделям'!B87),"00")</f>
        <v>12.10</v>
      </c>
      <c r="B17" s="11" t="e">
        <f aca="false">IF('Досмотр по неделям'!D87="",NA(),'Досмотр по неделям'!D87)</f>
        <v>#N/A</v>
      </c>
      <c r="C17" s="25" t="e">
        <f aca="false">IF(OR('Досмотр по неделям'!K87="",'Досмотр по неделям'!K87=0),NA(),'Досмотр по неделям'!K87)</f>
        <v>#N/A</v>
      </c>
      <c r="D17" s="25" t="e">
        <f aca="false">IF(OR('Досмотр по неделям'!L87="",'Досмотр по неделям'!L87=0),NA(),'Досмотр по неделям'!L87)</f>
        <v>#N/A</v>
      </c>
      <c r="E17" s="25" t="e">
        <f aca="false">IF(OR('Досмотр по неделям'!M87="",'Досмотр по неделям'!M87=0),NA(),'Досмотр по неделям'!M87)</f>
        <v>#N/A</v>
      </c>
      <c r="F17" s="25" t="e">
        <f aca="false">IF(OR('Досмотр по неделям'!N87="",'Досмотр по неделям'!N87=0),NA(),'Досмотр по неделям'!N87)</f>
        <v>#N/A</v>
      </c>
      <c r="G17" s="25" t="e">
        <f aca="false">IF(OR('Досмотр по неделям'!O87="",'Досмотр по неделям'!O87=0),NA(),'Досмотр по неделям'!O87)</f>
        <v>#N/A</v>
      </c>
      <c r="H17" s="25" t="e">
        <f aca="false">IF(OR('Досмотр по неделям'!P87="",'Досмотр по неделям'!P87=0),NA(),'Досмотр по неделям'!P87)</f>
        <v>#N/A</v>
      </c>
    </row>
    <row r="18" customFormat="false" ht="15" hidden="false" customHeight="false" outlineLevel="0" collapsed="false">
      <c r="A18" s="10" t="str">
        <f aca="false">TEXT(DAY('Досмотр по неделям'!B88),"00")&amp;"."&amp;TEXT(MONTH('Досмотр по неделям'!B88),"00")</f>
        <v>19.10</v>
      </c>
      <c r="B18" s="11" t="e">
        <f aca="false">IF('Досмотр по неделям'!D88="",NA(),'Досмотр по неделям'!D88)</f>
        <v>#N/A</v>
      </c>
      <c r="C18" s="25" t="e">
        <f aca="false">IF(OR('Досмотр по неделям'!K88="",'Досмотр по неделям'!K88=0),NA(),'Досмотр по неделям'!K88)</f>
        <v>#N/A</v>
      </c>
      <c r="D18" s="25" t="e">
        <f aca="false">IF(OR('Досмотр по неделям'!L88="",'Досмотр по неделям'!L88=0),NA(),'Досмотр по неделям'!L88)</f>
        <v>#N/A</v>
      </c>
      <c r="E18" s="25" t="e">
        <f aca="false">IF(OR('Досмотр по неделям'!M88="",'Досмотр по неделям'!M88=0),NA(),'Досмотр по неделям'!M88)</f>
        <v>#N/A</v>
      </c>
      <c r="F18" s="25" t="e">
        <f aca="false">IF(OR('Досмотр по неделям'!N88="",'Досмотр по неделям'!N88=0),NA(),'Досмотр по неделям'!N88)</f>
        <v>#N/A</v>
      </c>
      <c r="G18" s="25" t="e">
        <f aca="false">IF(OR('Досмотр по неделям'!O88="",'Досмотр по неделям'!O88=0),NA(),'Досмотр по неделям'!O88)</f>
        <v>#N/A</v>
      </c>
      <c r="H18" s="25" t="e">
        <f aca="false">IF(OR('Досмотр по неделям'!P88="",'Досмотр по неделям'!P88=0),NA(),'Досмотр по неделям'!P88)</f>
        <v>#N/A</v>
      </c>
    </row>
    <row r="19" customFormat="false" ht="15" hidden="false" customHeight="false" outlineLevel="0" collapsed="false">
      <c r="A19" s="10" t="str">
        <f aca="false">TEXT(DAY('Досмотр по неделям'!B89),"00")&amp;"."&amp;TEXT(MONTH('Досмотр по неделям'!B89),"00")</f>
        <v>26.10</v>
      </c>
      <c r="B19" s="11" t="e">
        <f aca="false">IF('Досмотр по неделям'!D89="",NA(),'Досмотр по неделям'!D89)</f>
        <v>#N/A</v>
      </c>
      <c r="C19" s="25" t="e">
        <f aca="false">IF(OR('Досмотр по неделям'!K89="",'Досмотр по неделям'!K89=0),NA(),'Досмотр по неделям'!K89)</f>
        <v>#N/A</v>
      </c>
      <c r="D19" s="25" t="e">
        <f aca="false">IF(OR('Досмотр по неделям'!L89="",'Досмотр по неделям'!L89=0),NA(),'Досмотр по неделям'!L89)</f>
        <v>#N/A</v>
      </c>
      <c r="E19" s="25" t="e">
        <f aca="false">IF(OR('Досмотр по неделям'!M89="",'Досмотр по неделям'!M89=0),NA(),'Досмотр по неделям'!M89)</f>
        <v>#N/A</v>
      </c>
      <c r="F19" s="25" t="e">
        <f aca="false">IF(OR('Досмотр по неделям'!N89="",'Досмотр по неделям'!N89=0),NA(),'Досмотр по неделям'!N89)</f>
        <v>#N/A</v>
      </c>
      <c r="G19" s="25" t="e">
        <f aca="false">IF(OR('Досмотр по неделям'!O89="",'Досмотр по неделям'!O89=0),NA(),'Досмотр по неделям'!O89)</f>
        <v>#N/A</v>
      </c>
      <c r="H19" s="25" t="e">
        <f aca="false">IF(OR('Досмотр по неделям'!P89="",'Досмотр по неделям'!P89=0),NA(),'Досмотр по неделям'!P89)</f>
        <v>#N/A</v>
      </c>
    </row>
    <row r="20" customFormat="false" ht="15" hidden="false" customHeight="false" outlineLevel="0" collapsed="false">
      <c r="A20" s="10" t="str">
        <f aca="false">TEXT(DAY('Досмотр по неделям'!B90),"00")&amp;"."&amp;TEXT(MONTH('Досмотр по неделям'!B90),"00")</f>
        <v>02.11</v>
      </c>
      <c r="B20" s="11" t="e">
        <f aca="false">IF('Досмотр по неделям'!D90="",NA(),'Досмотр по неделям'!D90)</f>
        <v>#N/A</v>
      </c>
      <c r="C20" s="25" t="e">
        <f aca="false">IF(OR('Досмотр по неделям'!K90="",'Досмотр по неделям'!K90=0),NA(),'Досмотр по неделям'!K90)</f>
        <v>#N/A</v>
      </c>
      <c r="D20" s="25" t="e">
        <f aca="false">IF(OR('Досмотр по неделям'!L90="",'Досмотр по неделям'!L90=0),NA(),'Досмотр по неделям'!L90)</f>
        <v>#N/A</v>
      </c>
      <c r="E20" s="25" t="e">
        <f aca="false">IF(OR('Досмотр по неделям'!M90="",'Досмотр по неделям'!M90=0),NA(),'Досмотр по неделям'!M90)</f>
        <v>#N/A</v>
      </c>
      <c r="F20" s="25" t="e">
        <f aca="false">IF(OR('Досмотр по неделям'!N90="",'Досмотр по неделям'!N90=0),NA(),'Досмотр по неделям'!N90)</f>
        <v>#N/A</v>
      </c>
      <c r="G20" s="25" t="e">
        <f aca="false">IF(OR('Досмотр по неделям'!O90="",'Досмотр по неделям'!O90=0),NA(),'Досмотр по неделям'!O90)</f>
        <v>#N/A</v>
      </c>
      <c r="H20" s="25" t="e">
        <f aca="false">IF(OR('Досмотр по неделям'!P90="",'Досмотр по неделям'!P90=0),NA(),'Досмотр по неделям'!P90)</f>
        <v>#N/A</v>
      </c>
    </row>
    <row r="21" customFormat="false" ht="15" hidden="false" customHeight="false" outlineLevel="0" collapsed="false">
      <c r="A21" s="10" t="str">
        <f aca="false">TEXT(DAY('Досмотр по неделям'!B91),"00")&amp;"."&amp;TEXT(MONTH('Досмотр по неделям'!B91),"00")</f>
        <v>09.11</v>
      </c>
      <c r="B21" s="11" t="e">
        <f aca="false">IF('Досмотр по неделям'!D91="",NA(),'Досмотр по неделям'!D91)</f>
        <v>#N/A</v>
      </c>
      <c r="C21" s="25" t="e">
        <f aca="false">IF(OR('Досмотр по неделям'!K91="",'Досмотр по неделям'!K91=0),NA(),'Досмотр по неделям'!K91)</f>
        <v>#N/A</v>
      </c>
      <c r="D21" s="25" t="e">
        <f aca="false">IF(OR('Досмотр по неделям'!L91="",'Досмотр по неделям'!L91=0),NA(),'Досмотр по неделям'!L91)</f>
        <v>#N/A</v>
      </c>
      <c r="E21" s="25" t="e">
        <f aca="false">IF(OR('Досмотр по неделям'!M91="",'Досмотр по неделям'!M91=0),NA(),'Досмотр по неделям'!M91)</f>
        <v>#N/A</v>
      </c>
      <c r="F21" s="25" t="e">
        <f aca="false">IF(OR('Досмотр по неделям'!N91="",'Досмотр по неделям'!N91=0),NA(),'Досмотр по неделям'!N91)</f>
        <v>#N/A</v>
      </c>
      <c r="G21" s="25" t="e">
        <f aca="false">IF(OR('Досмотр по неделям'!O91="",'Досмотр по неделям'!O91=0),NA(),'Досмотр по неделям'!O91)</f>
        <v>#N/A</v>
      </c>
      <c r="H21" s="25" t="e">
        <f aca="false">IF(OR('Досмотр по неделям'!P91="",'Досмотр по неделям'!P91=0),NA(),'Досмотр по неделям'!P91)</f>
        <v>#N/A</v>
      </c>
    </row>
    <row r="22" customFormat="false" ht="15" hidden="false" customHeight="false" outlineLevel="0" collapsed="false">
      <c r="A22" s="10" t="str">
        <f aca="false">TEXT(DAY('Досмотр по неделям'!B92),"00")&amp;"."&amp;TEXT(MONTH('Досмотр по неделям'!B92),"00")</f>
        <v>16.11</v>
      </c>
      <c r="B22" s="11" t="e">
        <f aca="false">IF('Досмотр по неделям'!D92="",NA(),'Досмотр по неделям'!D92)</f>
        <v>#N/A</v>
      </c>
      <c r="C22" s="25" t="e">
        <f aca="false">IF(OR('Досмотр по неделям'!K92="",'Досмотр по неделям'!K92=0),NA(),'Досмотр по неделям'!K92)</f>
        <v>#N/A</v>
      </c>
      <c r="D22" s="25" t="e">
        <f aca="false">IF(OR('Досмотр по неделям'!L92="",'Досмотр по неделям'!L92=0),NA(),'Досмотр по неделям'!L92)</f>
        <v>#N/A</v>
      </c>
      <c r="E22" s="25" t="e">
        <f aca="false">IF(OR('Досмотр по неделям'!M92="",'Досмотр по неделям'!M92=0),NA(),'Досмотр по неделям'!M92)</f>
        <v>#N/A</v>
      </c>
      <c r="F22" s="25" t="e">
        <f aca="false">IF(OR('Досмотр по неделям'!N92="",'Досмотр по неделям'!N92=0),NA(),'Досмотр по неделям'!N92)</f>
        <v>#N/A</v>
      </c>
      <c r="G22" s="25" t="e">
        <f aca="false">IF(OR('Досмотр по неделям'!O92="",'Досмотр по неделям'!O92=0),NA(),'Досмотр по неделям'!O92)</f>
        <v>#N/A</v>
      </c>
      <c r="H22" s="25" t="e">
        <f aca="false">IF(OR('Досмотр по неделям'!P92="",'Досмотр по неделям'!P92=0),NA(),'Досмотр по неделям'!P92)</f>
        <v>#N/A</v>
      </c>
    </row>
    <row r="23" customFormat="false" ht="15" hidden="false" customHeight="false" outlineLevel="0" collapsed="false">
      <c r="A23" s="10" t="str">
        <f aca="false">TEXT(DAY('Досмотр по неделям'!B93),"00")&amp;"."&amp;TEXT(MONTH('Досмотр по неделям'!B93),"00")</f>
        <v>23.11</v>
      </c>
      <c r="B23" s="11" t="e">
        <f aca="false">IF('Досмотр по неделям'!D93="",NA(),'Досмотр по неделям'!D93)</f>
        <v>#N/A</v>
      </c>
      <c r="C23" s="25" t="e">
        <f aca="false">IF(OR('Досмотр по неделям'!K93="",'Досмотр по неделям'!K93=0),NA(),'Досмотр по неделям'!K93)</f>
        <v>#N/A</v>
      </c>
      <c r="D23" s="25" t="e">
        <f aca="false">IF(OR('Досмотр по неделям'!L93="",'Досмотр по неделям'!L93=0),NA(),'Досмотр по неделям'!L93)</f>
        <v>#N/A</v>
      </c>
      <c r="E23" s="25" t="e">
        <f aca="false">IF(OR('Досмотр по неделям'!M93="",'Досмотр по неделям'!M93=0),NA(),'Досмотр по неделям'!M93)</f>
        <v>#N/A</v>
      </c>
      <c r="F23" s="25" t="e">
        <f aca="false">IF(OR('Досмотр по неделям'!N93="",'Досмотр по неделям'!N93=0),NA(),'Досмотр по неделям'!N93)</f>
        <v>#N/A</v>
      </c>
      <c r="G23" s="25" t="e">
        <f aca="false">IF(OR('Досмотр по неделям'!O93="",'Досмотр по неделям'!O93=0),NA(),'Досмотр по неделям'!O93)</f>
        <v>#N/A</v>
      </c>
      <c r="H23" s="25" t="e">
        <f aca="false">IF(OR('Досмотр по неделям'!P93="",'Досмотр по неделям'!P93=0),NA(),'Досмотр по неделям'!P93)</f>
        <v>#N/A</v>
      </c>
    </row>
    <row r="24" customFormat="false" ht="15" hidden="false" customHeight="false" outlineLevel="0" collapsed="false">
      <c r="A24" s="10" t="str">
        <f aca="false">TEXT(DAY('Досмотр по неделям'!B94),"00")&amp;"."&amp;TEXT(MONTH('Досмотр по неделям'!B94),"00")</f>
        <v>30.11</v>
      </c>
      <c r="B24" s="11" t="e">
        <f aca="false">IF('Досмотр по неделям'!D94="",NA(),'Досмотр по неделям'!D94)</f>
        <v>#N/A</v>
      </c>
      <c r="C24" s="25" t="e">
        <f aca="false">IF(OR('Досмотр по неделям'!K94="",'Досмотр по неделям'!K94=0),NA(),'Досмотр по неделям'!K94)</f>
        <v>#N/A</v>
      </c>
      <c r="D24" s="25" t="e">
        <f aca="false">IF(OR('Досмотр по неделям'!L94="",'Досмотр по неделям'!L94=0),NA(),'Досмотр по неделям'!L94)</f>
        <v>#N/A</v>
      </c>
      <c r="E24" s="25" t="e">
        <f aca="false">IF(OR('Досмотр по неделям'!M94="",'Досмотр по неделям'!M94=0),NA(),'Досмотр по неделям'!M94)</f>
        <v>#N/A</v>
      </c>
      <c r="F24" s="25" t="e">
        <f aca="false">IF(OR('Досмотр по неделям'!N94="",'Досмотр по неделям'!N94=0),NA(),'Досмотр по неделям'!N94)</f>
        <v>#N/A</v>
      </c>
      <c r="G24" s="25" t="e">
        <f aca="false">IF(OR('Досмотр по неделям'!O94="",'Досмотр по неделям'!O94=0),NA(),'Досмотр по неделям'!O94)</f>
        <v>#N/A</v>
      </c>
      <c r="H24" s="25" t="e">
        <f aca="false">IF(OR('Досмотр по неделям'!P94="",'Досмотр по неделям'!P94=0),NA(),'Досмотр по неделям'!P94)</f>
        <v>#N/A</v>
      </c>
    </row>
    <row r="25" customFormat="false" ht="15" hidden="false" customHeight="false" outlineLevel="0" collapsed="false">
      <c r="A25" s="10" t="str">
        <f aca="false">TEXT(DAY('Досмотр по неделям'!B95),"00")&amp;"."&amp;TEXT(MONTH('Досмотр по неделям'!B95),"00")</f>
        <v>07.12</v>
      </c>
      <c r="B25" s="11" t="e">
        <f aca="false">IF('Досмотр по неделям'!D95="",NA(),'Досмотр по неделям'!D95)</f>
        <v>#N/A</v>
      </c>
      <c r="C25" s="25" t="e">
        <f aca="false">IF(OR('Досмотр по неделям'!K95="",'Досмотр по неделям'!K95=0),NA(),'Досмотр по неделям'!K95)</f>
        <v>#N/A</v>
      </c>
      <c r="D25" s="25" t="e">
        <f aca="false">IF(OR('Досмотр по неделям'!L95="",'Досмотр по неделям'!L95=0),NA(),'Досмотр по неделям'!L95)</f>
        <v>#N/A</v>
      </c>
      <c r="E25" s="25" t="e">
        <f aca="false">IF(OR('Досмотр по неделям'!M95="",'Досмотр по неделям'!M95=0),NA(),'Досмотр по неделям'!M95)</f>
        <v>#N/A</v>
      </c>
      <c r="F25" s="25" t="e">
        <f aca="false">IF(OR('Досмотр по неделям'!N95="",'Досмотр по неделям'!N95=0),NA(),'Досмотр по неделям'!N95)</f>
        <v>#N/A</v>
      </c>
      <c r="G25" s="25" t="e">
        <f aca="false">IF(OR('Досмотр по неделям'!O95="",'Досмотр по неделям'!O95=0),NA(),'Досмотр по неделям'!O95)</f>
        <v>#N/A</v>
      </c>
      <c r="H25" s="25" t="e">
        <f aca="false">IF(OR('Досмотр по неделям'!P95="",'Досмотр по неделям'!P95=0),NA(),'Досмотр по неделям'!P95)</f>
        <v>#N/A</v>
      </c>
    </row>
    <row r="26" customFormat="false" ht="15" hidden="false" customHeight="false" outlineLevel="0" collapsed="false">
      <c r="A26" s="10" t="str">
        <f aca="false">TEXT(DAY('Досмотр по неделям'!B96),"00")&amp;"."&amp;TEXT(MONTH('Досмотр по неделям'!B96),"00")</f>
        <v>14.12</v>
      </c>
      <c r="B26" s="11" t="e">
        <f aca="false">IF('Досмотр по неделям'!D96="",NA(),'Досмотр по неделям'!D96)</f>
        <v>#N/A</v>
      </c>
      <c r="C26" s="25" t="e">
        <f aca="false">IF(OR('Досмотр по неделям'!K96="",'Досмотр по неделям'!K96=0),NA(),'Досмотр по неделям'!K96)</f>
        <v>#N/A</v>
      </c>
      <c r="D26" s="25" t="e">
        <f aca="false">IF(OR('Досмотр по неделям'!L96="",'Досмотр по неделям'!L96=0),NA(),'Досмотр по неделям'!L96)</f>
        <v>#N/A</v>
      </c>
      <c r="E26" s="25" t="e">
        <f aca="false">IF(OR('Досмотр по неделям'!M96="",'Досмотр по неделям'!M96=0),NA(),'Досмотр по неделям'!M96)</f>
        <v>#N/A</v>
      </c>
      <c r="F26" s="25" t="e">
        <f aca="false">IF(OR('Досмотр по неделям'!N96="",'Досмотр по неделям'!N96=0),NA(),'Досмотр по неделям'!N96)</f>
        <v>#N/A</v>
      </c>
      <c r="G26" s="25" t="e">
        <f aca="false">IF(OR('Досмотр по неделям'!O96="",'Досмотр по неделям'!O96=0),NA(),'Досмотр по неделям'!O96)</f>
        <v>#N/A</v>
      </c>
      <c r="H26" s="25" t="e">
        <f aca="false">IF(OR('Досмотр по неделям'!P96="",'Досмотр по неделям'!P96=0),NA(),'Досмотр по неделям'!P96)</f>
        <v>#N/A</v>
      </c>
    </row>
    <row r="27" customFormat="false" ht="15" hidden="false" customHeight="false" outlineLevel="0" collapsed="false">
      <c r="A27" s="10" t="str">
        <f aca="false">TEXT(DAY('Досмотр по неделям'!B97),"00")&amp;"."&amp;TEXT(MONTH('Досмотр по неделям'!B97),"00")</f>
        <v>21.12</v>
      </c>
      <c r="B27" s="11" t="e">
        <f aca="false">IF('Досмотр по неделям'!D97="",NA(),'Досмотр по неделям'!D97)</f>
        <v>#N/A</v>
      </c>
      <c r="C27" s="25" t="e">
        <f aca="false">IF(OR('Досмотр по неделям'!K97="",'Досмотр по неделям'!K97=0),NA(),'Досмотр по неделям'!K97)</f>
        <v>#N/A</v>
      </c>
      <c r="D27" s="25" t="e">
        <f aca="false">IF(OR('Досмотр по неделям'!L97="",'Досмотр по неделям'!L97=0),NA(),'Досмотр по неделям'!L97)</f>
        <v>#N/A</v>
      </c>
      <c r="E27" s="25" t="e">
        <f aca="false">IF(OR('Досмотр по неделям'!M97="",'Досмотр по неделям'!M97=0),NA(),'Досмотр по неделям'!M97)</f>
        <v>#N/A</v>
      </c>
      <c r="F27" s="25" t="e">
        <f aca="false">IF(OR('Досмотр по неделям'!N97="",'Досмотр по неделям'!N97=0),NA(),'Досмотр по неделям'!N97)</f>
        <v>#N/A</v>
      </c>
      <c r="G27" s="25" t="e">
        <f aca="false">IF(OR('Досмотр по неделям'!O97="",'Досмотр по неделям'!O97=0),NA(),'Досмотр по неделям'!O97)</f>
        <v>#N/A</v>
      </c>
      <c r="H27" s="25" t="e">
        <f aca="false">IF(OR('Досмотр по неделям'!P97="",'Досмотр по неделям'!P97=0),NA(),'Досмотр по неделям'!P97)</f>
        <v>#N/A</v>
      </c>
    </row>
    <row r="28" customFormat="false" ht="15" hidden="false" customHeight="false" outlineLevel="0" collapsed="false">
      <c r="A28" s="10" t="str">
        <f aca="false">TEXT(DAY('Досмотр по неделям'!B98),"00")&amp;"."&amp;TEXT(MONTH('Досмотр по неделям'!B98),"00")</f>
        <v>28.12</v>
      </c>
      <c r="B28" s="11" t="e">
        <f aca="false">IF('Досмотр по неделям'!D98="",NA(),'Досмотр по неделям'!D98)</f>
        <v>#N/A</v>
      </c>
      <c r="C28" s="25" t="e">
        <f aca="false">IF(OR('Досмотр по неделям'!K98="",'Досмотр по неделям'!K98=0),NA(),'Досмотр по неделям'!K98)</f>
        <v>#N/A</v>
      </c>
      <c r="D28" s="25" t="e">
        <f aca="false">IF(OR('Досмотр по неделям'!L98="",'Досмотр по неделям'!L98=0),NA(),'Досмотр по неделям'!L98)</f>
        <v>#N/A</v>
      </c>
      <c r="E28" s="25" t="e">
        <f aca="false">IF(OR('Досмотр по неделям'!M98="",'Досмотр по неделям'!M98=0),NA(),'Досмотр по неделям'!M98)</f>
        <v>#N/A</v>
      </c>
      <c r="F28" s="25" t="e">
        <f aca="false">IF(OR('Досмотр по неделям'!N98="",'Досмотр по неделям'!N98=0),NA(),'Досмотр по неделям'!N98)</f>
        <v>#N/A</v>
      </c>
      <c r="G28" s="25" t="e">
        <f aca="false">IF(OR('Досмотр по неделям'!O98="",'Досмотр по неделям'!O98=0),NA(),'Досмотр по неделям'!O98)</f>
        <v>#N/A</v>
      </c>
      <c r="H28" s="25" t="e">
        <f aca="false">IF(OR('Досмотр по неделям'!P98="",'Досмотр по неделям'!P98=0),NA(),'Досмотр по неделям'!P98)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2026-09-25T15:37:39Z</dcterms:created>
  <dc:creator>openpyxl</dc:creator>
  <dc:description/>
  <dc:language>ru-RU</dc:language>
  <cp:lastModifiedBy/>
  <dcterms:modified xsi:type="dcterms:W3CDTF">2026-09-25T18:37:42Z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